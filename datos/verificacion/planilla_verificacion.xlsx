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sumen" sheetId="2" state="visible" r:id="rId4"/>
    <sheet name="Incidentes" sheetId="3" state="visible" r:id="rId5"/>
    <sheet name="Hechos clave" sheetId="4" state="visible" r:id="rId6"/>
  </sheets>
  <definedNames>
    <definedName function="false" hidden="true" localSheetId="3" name="_xlnm._FilterDatabase" vbProcedure="false">'Hechos clave'!$A$1:$P$17</definedName>
    <definedName function="false" hidden="true" localSheetId="2" name="_xlnm._FilterDatabase" vbProcedure="false">Incidentes!$A$1:$U$24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<sst xmlns="http://schemas.openxmlformats.org/spreadsheetml/2006/main" count="466" uniqueCount="269">
  <si>
    <t xml:space="preserve">Planilla de verificación de datos · TFM Monitor Ciber-Geopolítico Argentina</t>
  </si>
  <si>
    <t xml:space="preserve">Qué hay que hacer</t>
  </si>
  <si>
    <t xml:space="preserve">Para cada fila de las pestañas «Incidentes» y «Hechos clave», abrir la fuente y completar SOLO las columnas amarillas. Las demás columnas (azules) son los datos ya cargados: no se modifican.</t>
  </si>
  <si>
    <t xml:space="preserve">Orden</t>
  </si>
  <si>
    <t xml:space="preserve">Los incidentes están ordenados del más reciente al más antiguo (los de fecha desconocida, al final). La columna «Prioridad» indica cuáles pesan más en la evaluación: conviene empezar por los de prioridad Alta (se pueden filtrar con la flecha del encabezado).</t>
  </si>
  <si>
    <t xml:space="preserve">Tiempo estimado</t>
  </si>
  <si>
    <t xml:space="preserve">Unos 5 minutos por fila. Se puede completar en varias sesiones; la pestaña «Resumen» muestra el avance.</t>
  </si>
  <si>
    <t xml:space="preserve">Al terminar</t>
  </si>
  <si>
    <t xml:space="preserve">Devolver la planilla en el chat. Con ella se actualizan los datos, la página y la memoria.</t>
  </si>
  <si>
    <t xml:space="preserve">Cómo verificar (método de analista)</t>
  </si>
  <si>
    <t xml:space="preserve">1. ¿La fuente dice eso?</t>
  </si>
  <si>
    <t xml:space="preserve">Abrir el enlace y comprobar que la noticia trata de ese ataque o hecho.</t>
  </si>
  <si>
    <t xml:space="preserve">2. ¿La fecha es la del hecho?</t>
  </si>
  <si>
    <t xml:space="preserve">Muchas veces la fecha cargada es la de publicación de la nota. Buscar en el texto el día real del ataque y anotarlo en «Fecha confirmada».</t>
  </si>
  <si>
    <t xml:space="preserve">3. ¿Actor y objetivo correctos?</t>
  </si>
  <si>
    <t xml:space="preserve">¿Fue ese grupo? ¿Atacó a ese organismo?</t>
  </si>
  <si>
    <t xml:space="preserve">4. Corroborar</t>
  </si>
  <si>
    <t xml:space="preserve">Buscar el mismo hecho en otra fuente INDEPENDIENTE (que no copie a la primera) y pegar su enlace en «Fuente adicional».</t>
  </si>
  <si>
    <t xml:space="preserve">5. Evidencia técnica</t>
  </si>
  <si>
    <t xml:space="preserve">Defacement: Wayback Machine (web.archive.org) o Zone-H (zone-h.org/archive). Ransomware/filtración: ransomware.live. DDoS: comunicados oficiales.</t>
  </si>
  <si>
    <t xml:space="preserve">6. Calificar (Código Almirantazgo)</t>
  </si>
  <si>
    <t xml:space="preserve">Elegir una letra (fiabilidad de la fuente) y un número (credibilidad de la información). La columna «Código» se completa sola.</t>
  </si>
  <si>
    <t xml:space="preserve">7. Decidir</t>
  </si>
  <si>
    <t xml:space="preserve">Confirmado (hay evidencia y corroboración) · Reivindicado sin confirmar (solo lo dice el atacante o una fuente) · Descartado (sin evidencia o con error de fondo).</t>
  </si>
  <si>
    <t xml:space="preserve">Código Almirantazgo (OTAN)</t>
  </si>
  <si>
    <t xml:space="preserve">A – Totalmente fiable</t>
  </si>
  <si>
    <t xml:space="preserve">Organismo oficial o comunicado del propio afectado</t>
  </si>
  <si>
    <t xml:space="preserve">B – Normalmente fiable</t>
  </si>
  <si>
    <t xml:space="preserve">Medio serio o empresa de ciberseguridad reconocida</t>
  </si>
  <si>
    <t xml:space="preserve">C – Bastante fiable</t>
  </si>
  <si>
    <t xml:space="preserve">Medio menor o investigador conocido</t>
  </si>
  <si>
    <t xml:space="preserve">D – No siempre fiable</t>
  </si>
  <si>
    <t xml:space="preserve">Blog, agregador, cuenta en redes</t>
  </si>
  <si>
    <t xml:space="preserve">E – Poco fiable</t>
  </si>
  <si>
    <t xml:space="preserve">El propio atacante reivindicando</t>
  </si>
  <si>
    <t xml:space="preserve">F – No se puede juzgar</t>
  </si>
  <si>
    <t xml:space="preserve">Sin información sobre la fuente</t>
  </si>
  <si>
    <t xml:space="preserve">1 – Confirmada</t>
  </si>
  <si>
    <t xml:space="preserve">Confirmada por otras fuentes independientes</t>
  </si>
  <si>
    <t xml:space="preserve">2 – Probablemente cierta</t>
  </si>
  <si>
    <t xml:space="preserve">Coherente, sin confirmación independiente completa</t>
  </si>
  <si>
    <t xml:space="preserve">3 – Posiblemente cierta</t>
  </si>
  <si>
    <t xml:space="preserve">Razonable pero poco respaldada</t>
  </si>
  <si>
    <t xml:space="preserve">4 – Dudosa</t>
  </si>
  <si>
    <t xml:space="preserve">Hay indicios en contra</t>
  </si>
  <si>
    <t xml:space="preserve">5 – Improbable</t>
  </si>
  <si>
    <t xml:space="preserve">Contradicha por otras fuentes</t>
  </si>
  <si>
    <t xml:space="preserve">6 – No se puede juzgar</t>
  </si>
  <si>
    <t xml:space="preserve">Sin elementos para evaluar</t>
  </si>
  <si>
    <t xml:space="preserve">Ejemplo de fila completada (formato esperado)</t>
  </si>
  <si>
    <t xml:space="preserve">¿Fuente abre y dice eso?</t>
  </si>
  <si>
    <t xml:space="preserve">Sí</t>
  </si>
  <si>
    <t xml:space="preserve">Fecha confirmada</t>
  </si>
  <si>
    <t xml:space="preserve">2026-02-05</t>
  </si>
  <si>
    <t xml:space="preserve">¿Actor/objetivo correctos?</t>
  </si>
  <si>
    <t xml:space="preserve">¿Confirmación oficial?</t>
  </si>
  <si>
    <t xml:space="preserve">Fuente adicional</t>
  </si>
  <si>
    <t xml:space="preserve">https://www.mdzol.com/politica/intentaron-hackear-la-cancilleria-y-la-side-hablo-una-ofensiva-internacional-n1445789</t>
  </si>
  <si>
    <t xml:space="preserve">Fiabilidad fuente</t>
  </si>
  <si>
    <t xml:space="preserve">A</t>
  </si>
  <si>
    <t xml:space="preserve">Credibilidad info</t>
  </si>
  <si>
    <t xml:space="preserve">2</t>
  </si>
  <si>
    <t xml:space="preserve">Código</t>
  </si>
  <si>
    <t xml:space="preserve">A2 (automático)</t>
  </si>
  <si>
    <t xml:space="preserve">Decisión</t>
  </si>
  <si>
    <t xml:space="preserve">Confirmado</t>
  </si>
  <si>
    <t xml:space="preserve">Observaciones</t>
  </si>
  <si>
    <t xml:space="preserve">Ejemplo basado en INC-020: la SIDE informó el ataque; la atribución a la campaña hacktivista depende solo de la SIDE.</t>
  </si>
  <si>
    <t xml:space="preserve">Avance de la verificación</t>
  </si>
  <si>
    <t xml:space="preserve">Incidentes</t>
  </si>
  <si>
    <t xml:space="preserve">Hechos clave</t>
  </si>
  <si>
    <t xml:space="preserve">Total de filas</t>
  </si>
  <si>
    <t xml:space="preserve">Revisadas (con decisión)</t>
  </si>
  <si>
    <t xml:space="preserve">Reivindicado sin confirmar</t>
  </si>
  <si>
    <t xml:space="preserve">Descartado</t>
  </si>
  <si>
    <t xml:space="preserve">Avance</t>
  </si>
  <si>
    <t xml:space="preserve">Esta pestaña se calcula sola a partir de la columna «Decisión» de cada pestaña.</t>
  </si>
  <si>
    <t xml:space="preserve">Prioridad</t>
  </si>
  <si>
    <t xml:space="preserve">ID</t>
  </si>
  <si>
    <t xml:space="preserve">Fecha cargada</t>
  </si>
  <si>
    <t xml:space="preserve">Precisión fecha</t>
  </si>
  <si>
    <t xml:space="preserve">Actor</t>
  </si>
  <si>
    <t xml:space="preserve">Tipo de actor</t>
  </si>
  <si>
    <t xml:space="preserve">Objetivo</t>
  </si>
  <si>
    <t xml:space="preserve">Tipo de ataque</t>
  </si>
  <si>
    <t xml:space="preserve">Fuente</t>
  </si>
  <si>
    <t xml:space="preserve">Confianza actual</t>
  </si>
  <si>
    <t xml:space="preserve">Nota de la carga</t>
  </si>
  <si>
    <t xml:space="preserve">Fecha confirmada
(AAAA-MM-DD)</t>
  </si>
  <si>
    <t xml:space="preserve">Fuente adicional (URL)</t>
  </si>
  <si>
    <t xml:space="preserve">Fiabilidad fuente
(A-F)</t>
  </si>
  <si>
    <t xml:space="preserve">Credibilidad info
(1-6)</t>
  </si>
  <si>
    <t xml:space="preserve">3 - Baja</t>
  </si>
  <si>
    <t xml:space="preserve">INC-023</t>
  </si>
  <si>
    <t xml:space="preserve">2026-09-18</t>
  </si>
  <si>
    <t xml:space="preserve">dia</t>
  </si>
  <si>
    <t xml:space="preserve">n0n</t>
  </si>
  <si>
    <t xml:space="preserve">cibercriminal</t>
  </si>
  <si>
    <t xml:space="preserve">Ministerio de Educación de la Nación</t>
  </si>
  <si>
    <t xml:space="preserve">ransomware</t>
  </si>
  <si>
    <t xml:space="preserve">Abrir fuente</t>
  </si>
  <si>
    <t xml:space="preserve">baja</t>
  </si>
  <si>
    <t xml:space="preserve">Solo reivindicación del grupo; sin confirmación oficial.</t>
  </si>
  <si>
    <t xml:space="preserve">1 - Alta</t>
  </si>
  <si>
    <t xml:space="preserve">INC-022</t>
  </si>
  <si>
    <t xml:space="preserve">2026-07-15</t>
  </si>
  <si>
    <t xml:space="preserve">aproximada</t>
  </si>
  <si>
    <t xml:space="preserve">Hackers de origen egipcio (sin nombre)</t>
  </si>
  <si>
    <t xml:space="preserve">hacktivista</t>
  </si>
  <si>
    <t xml:space="preserve">AFA (AFA Medios)</t>
  </si>
  <si>
    <t xml:space="preserve">filtracion</t>
  </si>
  <si>
    <t xml:space="preserve">media</t>
  </si>
  <si>
    <t xml:space="preserve">Ya detectado por la plataforma en vivo. Fecha tomada de la nota.</t>
  </si>
  <si>
    <t xml:space="preserve">INC-021</t>
  </si>
  <si>
    <t xml:space="preserve">2026-03-04</t>
  </si>
  <si>
    <t xml:space="preserve">The Gentlemen</t>
  </si>
  <si>
    <t xml:space="preserve">IBR-CONICET (Rosario)</t>
  </si>
  <si>
    <t xml:space="preserve">El año (2026) se deduce del día de la semana: verificar.</t>
  </si>
  <si>
    <t xml:space="preserve">INC-020</t>
  </si>
  <si>
    <t xml:space="preserve">Campaña hacktivista (sin nombre público)</t>
  </si>
  <si>
    <t xml:space="preserve">Cancillería argentina</t>
  </si>
  <si>
    <t xml:space="preserve">ddos</t>
  </si>
  <si>
    <t xml:space="preserve">Ocurre 19 días después del anuncio de ingreso al Board of Peace (17/01/2026). La atribución proviene de la SIDE.</t>
  </si>
  <si>
    <t xml:space="preserve">INC-019</t>
  </si>
  <si>
    <t xml:space="preserve">2025-10-12</t>
  </si>
  <si>
    <t xml:space="preserve">Nova</t>
  </si>
  <si>
    <t xml:space="preserve">Ministerio de Salud de la Nación</t>
  </si>
  <si>
    <t xml:space="preserve">Solo reivindicación del grupo.</t>
  </si>
  <si>
    <t xml:space="preserve">2 - Media</t>
  </si>
  <si>
    <t xml:space="preserve">INC-018</t>
  </si>
  <si>
    <t xml:space="preserve">2025-05-08</t>
  </si>
  <si>
    <t xml:space="preserve">Desconocido</t>
  </si>
  <si>
    <t xml:space="preserve">desconocido</t>
  </si>
  <si>
    <t xml:space="preserve">Fuerzas Armadas (datos de unos 50.000 efectivos)</t>
  </si>
  <si>
    <t xml:space="preserve">alta</t>
  </si>
  <si>
    <t xml:space="preserve">Un proyecto de Diputados lo sitúa el 13/05/2025.</t>
  </si>
  <si>
    <t xml:space="preserve">INC-017</t>
  </si>
  <si>
    <t xml:space="preserve">2024-12-25</t>
  </si>
  <si>
    <t xml:space="preserve">gov.eth y h4xx0r1337</t>
  </si>
  <si>
    <t xml:space="preserve">Sitio argentina.gob.ar, Mi Argentina y SUBE</t>
  </si>
  <si>
    <t xml:space="preserve">defacement</t>
  </si>
  <si>
    <t xml:space="preserve">Confirmado por el Gobierno. Grupo de comparación.</t>
  </si>
  <si>
    <t xml:space="preserve">INC-016</t>
  </si>
  <si>
    <t xml:space="preserve">2024-11-29</t>
  </si>
  <si>
    <t xml:space="preserve">LockBit 3.0</t>
  </si>
  <si>
    <t xml:space="preserve">Agencia Tributaria de Formosa</t>
  </si>
  <si>
    <t xml:space="preserve">INC-015</t>
  </si>
  <si>
    <t xml:space="preserve">2024-11-27</t>
  </si>
  <si>
    <t xml:space="preserve">Money Message</t>
  </si>
  <si>
    <t xml:space="preserve">Comisión Nacional de Energía Atómica (CNEA)</t>
  </si>
  <si>
    <t xml:space="preserve">Un proyecto de la Cámara de Diputados da el 27/11/2024; ransomware.live estima el 18/12/2024.</t>
  </si>
  <si>
    <t xml:space="preserve">INC-014</t>
  </si>
  <si>
    <t xml:space="preserve">2024-10-04</t>
  </si>
  <si>
    <t xml:space="preserve">RansomHub</t>
  </si>
  <si>
    <t xml:space="preserve">Municipio de Tigre</t>
  </si>
  <si>
    <t xml:space="preserve">Solo reivindicación del grupo; buscar confirmación en medios.</t>
  </si>
  <si>
    <t xml:space="preserve">INC-005</t>
  </si>
  <si>
    <t xml:space="preserve">2024-08-15</t>
  </si>
  <si>
    <t xml:space="preserve">LulzSec Muslims</t>
  </si>
  <si>
    <t xml:space="preserve">Gobierno argentino (datos de Fuerzas Armadas y policía)</t>
  </si>
  <si>
    <t xml:space="preserve">Posterior al período de estudio.</t>
  </si>
  <si>
    <t xml:space="preserve">INC-004</t>
  </si>
  <si>
    <t xml:space="preserve">2024-08-05</t>
  </si>
  <si>
    <t xml:space="preserve">Ministerio de Salud y un medio de noticias</t>
  </si>
  <si>
    <t xml:space="preserve">otro</t>
  </si>
  <si>
    <t xml:space="preserve">Posterior al período de estudio. Útil si se extiende el período a agosto de 2024 (después de la declaración de Hamás como organización terrorista y del aniversario AMIA).</t>
  </si>
  <si>
    <t xml:space="preserve">INC-006</t>
  </si>
  <si>
    <t xml:space="preserve">2024-08-01</t>
  </si>
  <si>
    <t xml:space="preserve">mes</t>
  </si>
  <si>
    <t xml:space="preserve">Fuerza Aérea Argentina</t>
  </si>
  <si>
    <t xml:space="preserve">Falta el día exacto. Posterior al período de estudio.</t>
  </si>
  <si>
    <t xml:space="preserve">INC-012</t>
  </si>
  <si>
    <t xml:space="preserve">2024-06-27</t>
  </si>
  <si>
    <t xml:space="preserve">Gobierno de Tierra del Fuego</t>
  </si>
  <si>
    <t xml:space="preserve">Fuente débil: buscar confirmación en medios fueguinos (Sur54, Infofueguina).</t>
  </si>
  <si>
    <t xml:space="preserve">INC-011</t>
  </si>
  <si>
    <t xml:space="preserve">2024-04-16</t>
  </si>
  <si>
    <t xml:space="preserve">Agencia Nacional de Seguridad Vial (licencias de conducir)</t>
  </si>
  <si>
    <t xml:space="preserve">Grupo de comparación. Otras fuentes: El Sol, NTN24, El Desconcierto (17/04/2024).</t>
  </si>
  <si>
    <t xml:space="preserve">INC-010</t>
  </si>
  <si>
    <t xml:space="preserve">2024-04-09</t>
  </si>
  <si>
    <t xml:space="preserve">RENAPER (fotos de ciudadanos)</t>
  </si>
  <si>
    <t xml:space="preserve">Es una redistribución de datos viejos: decidir si cuenta como incidente del período.</t>
  </si>
  <si>
    <t xml:space="preserve">INC-002</t>
  </si>
  <si>
    <t xml:space="preserve">2024-02-22</t>
  </si>
  <si>
    <t xml:space="preserve">Fuerzas Armadas / Ejército Argentino (Comando Conjunto de Ciberdefensa)</t>
  </si>
  <si>
    <t xml:space="preserve">Fecha tomada de la publicación (22/02/2024); una cronología lo registra el 24/02/2024. También lo citan C5N y LM Neuquén.</t>
  </si>
  <si>
    <t xml:space="preserve">INC-009</t>
  </si>
  <si>
    <t xml:space="preserve">2024-02-05</t>
  </si>
  <si>
    <t xml:space="preserve">Gobierno de Río Negro - Hospital de Ingeniero Huergo</t>
  </si>
  <si>
    <t xml:space="preserve">Ocurre un día antes de la visita a Israel (06/02/2024): útil para discutir coincidencias temporales sin relación causal.</t>
  </si>
  <si>
    <t xml:space="preserve">INC-008</t>
  </si>
  <si>
    <t xml:space="preserve">2023-10-19</t>
  </si>
  <si>
    <t xml:space="preserve">Sitio oficial argentina.gob.ar</t>
  </si>
  <si>
    <t xml:space="preserve">Grupo de comparación: motivación no relacionada con Israel/Palestina. Otra fuente: MDZ (20/10/2023).</t>
  </si>
  <si>
    <t xml:space="preserve">INC-007</t>
  </si>
  <si>
    <t xml:space="preserve">2023-08-02</t>
  </si>
  <si>
    <t xml:space="preserve">Rhysida</t>
  </si>
  <si>
    <t xml:space="preserve">PAMI</t>
  </si>
  <si>
    <t xml:space="preserve">Grupo de comparación (no geopolítico). Otras fuentes: La Capital, Noticias NQN.</t>
  </si>
  <si>
    <t xml:space="preserve">INC-001</t>
  </si>
  <si>
    <t xml:space="preserve">2023-08-01</t>
  </si>
  <si>
    <t xml:space="preserve">Cyber Dragonz</t>
  </si>
  <si>
    <t xml:space="preserve">Biblioteca del Congreso de la Nación</t>
  </si>
  <si>
    <t xml:space="preserve">Falta el día exacto y una segunda fuente. Verificar el dominio afectado.</t>
  </si>
  <si>
    <t xml:space="preserve">INC-003</t>
  </si>
  <si>
    <t xml:space="preserve">desconocida</t>
  </si>
  <si>
    <t xml:space="preserve">REM</t>
  </si>
  <si>
    <t xml:space="preserve">AMIA y milei.com.ar</t>
  </si>
  <si>
    <t xml:space="preserve">FECHA DESCONOCIDA: la fecha 2024-01-01 es solo un marcador. Hay que averiguar la fecha real antes de usarlo.</t>
  </si>
  <si>
    <t xml:space="preserve">INC-013</t>
  </si>
  <si>
    <t xml:space="preserve">Stucx Team</t>
  </si>
  <si>
    <t xml:space="preserve">Sitios argentinos (campaña masiva)</t>
  </si>
  <si>
    <t xml:space="preserve">FECHA DESCONOCIDA (probablemente mediados de 2024): la fecha es solo un marcador.</t>
  </si>
  <si>
    <t xml:space="preserve">Hecho</t>
  </si>
  <si>
    <t xml:space="preserve">Categoría</t>
  </si>
  <si>
    <t xml:space="preserve">HC-001</t>
  </si>
  <si>
    <t xml:space="preserve">2023-10-07</t>
  </si>
  <si>
    <t xml:space="preserve">Ataque de Hamás contra Israel</t>
  </si>
  <si>
    <t xml:space="preserve">conflicto</t>
  </si>
  <si>
    <t xml:space="preserve">(sin fuente: buscar una)</t>
  </si>
  <si>
    <t xml:space="preserve">HC-002</t>
  </si>
  <si>
    <t xml:space="preserve">2023-11-19</t>
  </si>
  <si>
    <t xml:space="preserve">Milei gana el balotaje presidencial</t>
  </si>
  <si>
    <t xml:space="preserve">politica_exterior</t>
  </si>
  <si>
    <t xml:space="preserve">HC-003</t>
  </si>
  <si>
    <t xml:space="preserve">2023-12-10</t>
  </si>
  <si>
    <t xml:space="preserve">Asunción de Javier Milei</t>
  </si>
  <si>
    <t xml:space="preserve">HC-004</t>
  </si>
  <si>
    <t xml:space="preserve">2024-02-06</t>
  </si>
  <si>
    <t xml:space="preserve">Milei visita Israel y anuncia el traslado de la embajada a Jerusalén</t>
  </si>
  <si>
    <t xml:space="preserve">HC-005</t>
  </si>
  <si>
    <t xml:space="preserve">2024-04-11</t>
  </si>
  <si>
    <t xml:space="preserve">Fallo de Casación sobre el atentado a la AMIA</t>
  </si>
  <si>
    <t xml:space="preserve">judicial</t>
  </si>
  <si>
    <t xml:space="preserve">HC-006</t>
  </si>
  <si>
    <t xml:space="preserve">2024-04-13</t>
  </si>
  <si>
    <t xml:space="preserve">Ataque de Irán contra Israel</t>
  </si>
  <si>
    <t xml:space="preserve">HC-007</t>
  </si>
  <si>
    <t xml:space="preserve">2024-07-12</t>
  </si>
  <si>
    <t xml:space="preserve">Argentina declara a Hamás organización terrorista</t>
  </si>
  <si>
    <t xml:space="preserve">HC-008</t>
  </si>
  <si>
    <t xml:space="preserve">2024-07-18</t>
  </si>
  <si>
    <t xml:space="preserve">30.º aniversario del atentado a la AMIA</t>
  </si>
  <si>
    <t xml:space="preserve">aniversario</t>
  </si>
  <si>
    <t xml:space="preserve">HC-009</t>
  </si>
  <si>
    <t xml:space="preserve">2025-06-11</t>
  </si>
  <si>
    <t xml:space="preserve">Segunda visita de Milei a Israel: anuncia el traslado de la embajada para 2026</t>
  </si>
  <si>
    <t xml:space="preserve">HC-010</t>
  </si>
  <si>
    <t xml:space="preserve">2025-06-22</t>
  </si>
  <si>
    <t xml:space="preserve">Argentina respalda el ataque de EE. UU. a instalaciones nucleares de Irán</t>
  </si>
  <si>
    <t xml:space="preserve">HC-011</t>
  </si>
  <si>
    <t xml:space="preserve">2026-01-17</t>
  </si>
  <si>
    <t xml:space="preserve">Argentina anuncia su ingreso como miembro fundador del Board of Peace</t>
  </si>
  <si>
    <t xml:space="preserve">HC-012</t>
  </si>
  <si>
    <t xml:space="preserve">2026-02-19</t>
  </si>
  <si>
    <t xml:space="preserve">Milei participa de la reunión inaugural del Board of Peace y ofrece ayuda para Gaza</t>
  </si>
  <si>
    <t xml:space="preserve">HC-013</t>
  </si>
  <si>
    <t xml:space="preserve">2026-02-28</t>
  </si>
  <si>
    <t xml:space="preserve">Comienza la guerra de EE. UU. e Israel contra Irán; Argentina la respalda</t>
  </si>
  <si>
    <t xml:space="preserve">HC-014</t>
  </si>
  <si>
    <t xml:space="preserve">2026-03-18</t>
  </si>
  <si>
    <t xml:space="preserve">Milei arremete contra Irán en el aniversario del atentado a la embajada de Israel</t>
  </si>
  <si>
    <t xml:space="preserve">HC-015</t>
  </si>
  <si>
    <t xml:space="preserve">2026-04-02</t>
  </si>
  <si>
    <t xml:space="preserve">Argentina expulsa al encargado de negocios de Irán tras declarar terrorista a la Guardia Revolucionaria</t>
  </si>
  <si>
    <t xml:space="preserve">HC-016</t>
  </si>
  <si>
    <t xml:space="preserve">2026-04-19</t>
  </si>
  <si>
    <t xml:space="preserve">Tercera visita de Milei a Israel en plena guerra con Irán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</si>
</sst>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FFD966"/>
        <bgColor rgb="FFFFCC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D96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ocradar.io/free-tools/ransomware-intelligence/victims/ministry-of-education-argentina-n0n-34ae2664" TargetMode="External"/><Relationship Id="rId2" Type="http://schemas.openxmlformats.org/officeDocument/2006/relationships/hyperlink" Target="https://www.welivesecurity.com/es/cibercrimen/ciberataque-afa-correos-no-autorizados-mundial-2026/" TargetMode="External"/><Relationship Id="rId3" Type="http://schemas.openxmlformats.org/officeDocument/2006/relationships/hyperlink" Target="https://www.c5n.com/tecnologia/ciberataque-al-conicet-una-agrupacion-criminal-amenaza-filtrar-datos-n231386" TargetMode="External"/><Relationship Id="rId4" Type="http://schemas.openxmlformats.org/officeDocument/2006/relationships/hyperlink" Target="https://www.lacapitalmdp.com/la-side-bloqueo-un-ciberataque-contra-la-pagina-de-la-cancilleria-y-lo-atribuyo-al-alineamiento-con-estados-unidos/" TargetMode="External"/><Relationship Id="rId5" Type="http://schemas.openxmlformats.org/officeDocument/2006/relationships/hyperlink" Target="https://www.ransomware.live/map/AR" TargetMode="External"/><Relationship Id="rId6" Type="http://schemas.openxmlformats.org/officeDocument/2006/relationships/hyperlink" Target="https://www.ambito.com/politica/el-gobierno-investiga-un-hackeo-las-fuerzas-armadas-que-filtro-informacion-50000-efectivos-n6145526" TargetMode="External"/><Relationship Id="rId7" Type="http://schemas.openxmlformats.org/officeDocument/2006/relationships/hyperlink" Target="https://www.infobae.com/politica/2024/12/26/lo-hicimos-por-diversion-los-hackers-que-atacaron-los-sitios-del-gobierno-dijeron-que-no-tenian-segundo-factor-de-autenticacion/" TargetMode="External"/><Relationship Id="rId8" Type="http://schemas.openxmlformats.org/officeDocument/2006/relationships/hyperlink" Target="https://www.ransomware.live/map/AR" TargetMode="External"/><Relationship Id="rId9" Type="http://schemas.openxmlformats.org/officeDocument/2006/relationships/hyperlink" Target="https://www.ellitoral.com/internet-y-tecnologia/publicaron-datos-comision-nacional-energia-atomica-hackearon-miargentina-ahora-hoy-milei-francos-cnea-reactor-carem-ransomware-money-message_0_mop8kdf4LN.html" TargetMode="External"/><Relationship Id="rId10" Type="http://schemas.openxmlformats.org/officeDocument/2006/relationships/hyperlink" Target="https://www.ransomware.live/map/AR" TargetMode="External"/><Relationship Id="rId11" Type="http://schemas.openxmlformats.org/officeDocument/2006/relationships/hyperlink" Target="https://www.tecmundo.com.br/seguranca/288335-argentina-sofre-chantagem-criminosos-invasao-cibernetica.htm" TargetMode="External"/><Relationship Id="rId12" Type="http://schemas.openxmlformats.org/officeDocument/2006/relationships/hyperlink" Target="https://x.com/DailyDarkWeb/status/1820459996934758458" TargetMode="External"/><Relationship Id="rId13" Type="http://schemas.openxmlformats.org/officeDocument/2006/relationships/hyperlink" Target="https://www.sociedademilitar.com.br/2024/08/forca-aerea-argentina-e-atacada-pelo-grupo-lulzsec-muslims-e-isso-e-apenas-o-comeco-avisaram-amz.html" TargetMode="External"/><Relationship Id="rId14" Type="http://schemas.openxmlformats.org/officeDocument/2006/relationships/hyperlink" Target="https://time.graphics/event/9678400" TargetMode="External"/><Relationship Id="rId15" Type="http://schemas.openxmlformats.org/officeDocument/2006/relationships/hyperlink" Target="https://www.iproup.com/innovacion/47002-hackers-filtran-licencias-de-miles-de-argentinos-incluida-la-de-javier-milei" TargetMode="External"/><Relationship Id="rId16" Type="http://schemas.openxmlformats.org/officeDocument/2006/relationships/hyperlink" Target="https://ucema.edu.ar/investigacion/lanacion-090424" TargetMode="External"/><Relationship Id="rId17" Type="http://schemas.openxmlformats.org/officeDocument/2006/relationships/hyperlink" Target="https://www.zona-militar.com/2024/02/22/supuesto-hackeo-al-ambito-militar-argentino-desata-preocupaciones-en-materia-de-ciberdefensa/" TargetMode="External"/><Relationship Id="rId18" Type="http://schemas.openxmlformats.org/officeDocument/2006/relationships/hyperlink" Target="https://rionegro.gov.ar/articulo/48238/hackearon-el-sistema-del-hospital-de-huergo-y-robaron-datos" TargetMode="External"/><Relationship Id="rId19" Type="http://schemas.openxmlformats.org/officeDocument/2006/relationships/hyperlink" Target="https://www.lacapital.com.ar/informacion-general/hackearon-el-sitio-oficial-argentina-y-advirtieron-nuevos-ataques-n10171342.html" TargetMode="External"/><Relationship Id="rId20" Type="http://schemas.openxmlformats.org/officeDocument/2006/relationships/hyperlink" Target="https://www.forbesargentina.com/innovacion/como-opera-grupo-ciberdelincuencia-rhysida-logro-afectar-sistemas-pami-n38592" TargetMode="External"/><Relationship Id="rId21" Type="http://schemas.openxmlformats.org/officeDocument/2006/relationships/hyperlink" Target="https://www.c5n.com/tecnologia/vinculos-politicos-ponen-riesgo-la-ciberseguridad-argentina-amia-milei-y-los-hacktivistas-pro-palestina-n157648" TargetMode="External"/><Relationship Id="rId22" Type="http://schemas.openxmlformats.org/officeDocument/2006/relationships/hyperlink" Target="https://www.c5n.com/tecnologia/vinculos-politicos-ponen-riesgo-la-ciberseguridad-argentina-amia-milei-y-los-hacktivistas-pro-palestina-n157648" TargetMode="External"/><Relationship Id="rId23" Type="http://schemas.openxmlformats.org/officeDocument/2006/relationships/hyperlink" Target="https://blog.checkpoint.com/security/hacktivists-call-for-release-of-telegram-founder-with-freedurov-ddos-campaign/" TargetMode="External"/><Relationship Id="rId24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swissinfo.ch/spa/milei-anuncia-en-parlamento-israel&#237;-que-en-2026-trasladar&#225;-embajada-argentina-a-jerusal&#233;n/89500594" TargetMode="External"/><Relationship Id="rId2" Type="http://schemas.openxmlformats.org/officeDocument/2006/relationships/hyperlink" Target="https://www.c5n.com/politica/el-gobierno-respaldo-estados-unidos-e-israel-los-ataques-iran-argentina-esta-del-lado-correcto-n205214" TargetMode="External"/><Relationship Id="rId3" Type="http://schemas.openxmlformats.org/officeDocument/2006/relationships/hyperlink" Target="https://www.canal26.com/politica/2026/01/17/trump-invito-a-milei-a-integrar-el-board-of-peace-una-organizacion-para-resolver-conflictos-globales/" TargetMode="External"/><Relationship Id="rId4" Type="http://schemas.openxmlformats.org/officeDocument/2006/relationships/hyperlink" Target="https://www.canal26.com/politica/2026/02/19/javier-milei-inicia-una-nueva-gira-en-estados-unidos-y-participara-del-consejo-de-paz-de-donald-trump/" TargetMode="External"/><Relationship Id="rId5" Type="http://schemas.openxmlformats.org/officeDocument/2006/relationships/hyperlink" Target="https://www.swissinfo.ch/spa/milei-asegura-que-la-guerra-de-israel-y-eeuu-contra-ir&#225;n-es-%22lo-correcto%22/91282002" TargetMode="External"/><Relationship Id="rId6" Type="http://schemas.openxmlformats.org/officeDocument/2006/relationships/hyperlink" Target="https://www.france24.com/es/minuto-a-minuto/20260318-milei-arremete-contra-ir&#225;n-en-el-aniversario-del-atentado-contra-la-embajada-israel&#237;-en-argentina" TargetMode="External"/><Relationship Id="rId7" Type="http://schemas.openxmlformats.org/officeDocument/2006/relationships/hyperlink" Target="https://www.eldebate.com/internacional/20260402/argentina-expulsa-representante-diplomatico-iran-pais_402814.html" TargetMode="External"/><Relationship Id="rId8" Type="http://schemas.openxmlformats.org/officeDocument/2006/relationships/hyperlink" Target="https://www.noticiasnqn.com.ar/noticias/2026/04/19/331380-javier-milei-llego-a-israel-y-visito-el-muro-de-los-lamentos-en-el-inicio-de-su-gira-oficial" TargetMode="External"/><Relationship Id="rId9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95"/>
  </cols>
  <sheetData>
    <row r="1" customFormat="false" ht="17.35" hidden="false" customHeight="false" outlineLevel="0" collapsed="false">
      <c r="B1" s="1" t="s">
        <v>0</v>
      </c>
    </row>
    <row r="3" customFormat="false" ht="31.5" hidden="false" customHeight="true" outlineLevel="0" collapsed="false">
      <c r="B3" s="2" t="s">
        <v>1</v>
      </c>
      <c r="C3" s="3" t="s">
        <v>2</v>
      </c>
    </row>
    <row r="4" customFormat="false" ht="31.5" hidden="false" customHeight="true" outlineLevel="0" collapsed="false">
      <c r="B4" s="2" t="s">
        <v>3</v>
      </c>
      <c r="C4" s="3" t="s">
        <v>4</v>
      </c>
    </row>
    <row r="5" customFormat="false" ht="31.5" hidden="false" customHeight="true" outlineLevel="0" collapsed="false">
      <c r="B5" s="2" t="s">
        <v>5</v>
      </c>
      <c r="C5" s="3" t="s">
        <v>6</v>
      </c>
    </row>
    <row r="6" customFormat="false" ht="31.5" hidden="false" customHeight="true" outlineLevel="0" collapsed="false">
      <c r="B6" s="2" t="s">
        <v>7</v>
      </c>
      <c r="C6" s="3" t="s">
        <v>8</v>
      </c>
    </row>
    <row r="8" customFormat="false" ht="15" hidden="false" customHeight="false" outlineLevel="0" collapsed="false">
      <c r="B8" s="4" t="s">
        <v>9</v>
      </c>
    </row>
    <row r="9" customFormat="false" ht="31.5" hidden="false" customHeight="true" outlineLevel="0" collapsed="false">
      <c r="B9" s="2" t="s">
        <v>10</v>
      </c>
      <c r="C9" s="3" t="s">
        <v>11</v>
      </c>
    </row>
    <row r="10" customFormat="false" ht="31.5" hidden="false" customHeight="true" outlineLevel="0" collapsed="false">
      <c r="B10" s="2" t="s">
        <v>12</v>
      </c>
      <c r="C10" s="3" t="s">
        <v>13</v>
      </c>
    </row>
    <row r="11" customFormat="false" ht="31.5" hidden="false" customHeight="true" outlineLevel="0" collapsed="false">
      <c r="B11" s="2" t="s">
        <v>14</v>
      </c>
      <c r="C11" s="3" t="s">
        <v>15</v>
      </c>
    </row>
    <row r="12" customFormat="false" ht="31.5" hidden="false" customHeight="true" outlineLevel="0" collapsed="false">
      <c r="B12" s="2" t="s">
        <v>16</v>
      </c>
      <c r="C12" s="3" t="s">
        <v>17</v>
      </c>
    </row>
    <row r="13" customFormat="false" ht="31.5" hidden="false" customHeight="true" outlineLevel="0" collapsed="false">
      <c r="B13" s="2" t="s">
        <v>18</v>
      </c>
      <c r="C13" s="3" t="s">
        <v>19</v>
      </c>
    </row>
    <row r="14" customFormat="false" ht="31.5" hidden="false" customHeight="true" outlineLevel="0" collapsed="false">
      <c r="B14" s="2" t="s">
        <v>20</v>
      </c>
      <c r="C14" s="3" t="s">
        <v>21</v>
      </c>
    </row>
    <row r="15" customFormat="false" ht="31.5" hidden="false" customHeight="true" outlineLevel="0" collapsed="false">
      <c r="B15" s="2" t="s">
        <v>22</v>
      </c>
      <c r="C15" s="3" t="s">
        <v>23</v>
      </c>
    </row>
    <row r="17" customFormat="false" ht="15" hidden="false" customHeight="false" outlineLevel="0" collapsed="false">
      <c r="B17" s="4" t="s">
        <v>24</v>
      </c>
    </row>
    <row r="18" customFormat="false" ht="15" hidden="false" customHeight="false" outlineLevel="0" collapsed="false">
      <c r="B18" s="2" t="s">
        <v>25</v>
      </c>
      <c r="C18" s="5" t="s">
        <v>26</v>
      </c>
    </row>
    <row r="19" customFormat="false" ht="15" hidden="false" customHeight="false" outlineLevel="0" collapsed="false">
      <c r="B19" s="2" t="s">
        <v>27</v>
      </c>
      <c r="C19" s="5" t="s">
        <v>28</v>
      </c>
    </row>
    <row r="20" customFormat="false" ht="15" hidden="false" customHeight="false" outlineLevel="0" collapsed="false">
      <c r="B20" s="2" t="s">
        <v>29</v>
      </c>
      <c r="C20" s="5" t="s">
        <v>30</v>
      </c>
    </row>
    <row r="21" customFormat="false" ht="15" hidden="false" customHeight="false" outlineLevel="0" collapsed="false">
      <c r="B21" s="2" t="s">
        <v>31</v>
      </c>
      <c r="C21" s="5" t="s">
        <v>32</v>
      </c>
    </row>
    <row r="22" customFormat="false" ht="15" hidden="false" customHeight="false" outlineLevel="0" collapsed="false">
      <c r="B22" s="2" t="s">
        <v>33</v>
      </c>
      <c r="C22" s="5" t="s">
        <v>34</v>
      </c>
    </row>
    <row r="23" customFormat="false" ht="15" hidden="false" customHeight="false" outlineLevel="0" collapsed="false">
      <c r="B23" s="2" t="s">
        <v>35</v>
      </c>
      <c r="C23" s="5" t="s">
        <v>36</v>
      </c>
    </row>
    <row r="24" customFormat="false" ht="15" hidden="false" customHeight="false" outlineLevel="0" collapsed="false">
      <c r="B24" s="2" t="s">
        <v>37</v>
      </c>
      <c r="C24" s="5" t="s">
        <v>38</v>
      </c>
    </row>
    <row r="25" customFormat="false" ht="15" hidden="false" customHeight="false" outlineLevel="0" collapsed="false">
      <c r="B25" s="2" t="s">
        <v>39</v>
      </c>
      <c r="C25" s="5" t="s">
        <v>40</v>
      </c>
    </row>
    <row r="26" customFormat="false" ht="15" hidden="false" customHeight="false" outlineLevel="0" collapsed="false">
      <c r="B26" s="2" t="s">
        <v>41</v>
      </c>
      <c r="C26" s="5" t="s">
        <v>42</v>
      </c>
    </row>
    <row r="27" customFormat="false" ht="15" hidden="false" customHeight="false" outlineLevel="0" collapsed="false">
      <c r="B27" s="2" t="s">
        <v>43</v>
      </c>
      <c r="C27" s="5" t="s">
        <v>44</v>
      </c>
    </row>
    <row r="28" customFormat="false" ht="15" hidden="false" customHeight="false" outlineLevel="0" collapsed="false">
      <c r="B28" s="2" t="s">
        <v>45</v>
      </c>
      <c r="C28" s="5" t="s">
        <v>46</v>
      </c>
    </row>
    <row r="29" customFormat="false" ht="15" hidden="false" customHeight="false" outlineLevel="0" collapsed="false">
      <c r="B29" s="2" t="s">
        <v>47</v>
      </c>
      <c r="C29" s="5" t="s">
        <v>48</v>
      </c>
    </row>
    <row r="31" customFormat="false" ht="15" hidden="false" customHeight="false" outlineLevel="0" collapsed="false">
      <c r="B31" s="4" t="s">
        <v>49</v>
      </c>
    </row>
    <row r="32" customFormat="false" ht="15" hidden="false" customHeight="false" outlineLevel="0" collapsed="false">
      <c r="B32" s="2" t="s">
        <v>50</v>
      </c>
      <c r="C32" s="6" t="s">
        <v>51</v>
      </c>
    </row>
    <row r="33" customFormat="false" ht="15" hidden="false" customHeight="false" outlineLevel="0" collapsed="false">
      <c r="B33" s="2" t="s">
        <v>52</v>
      </c>
      <c r="C33" s="6" t="s">
        <v>53</v>
      </c>
    </row>
    <row r="34" customFormat="false" ht="15" hidden="false" customHeight="false" outlineLevel="0" collapsed="false">
      <c r="B34" s="2" t="s">
        <v>54</v>
      </c>
      <c r="C34" s="6" t="s">
        <v>51</v>
      </c>
    </row>
    <row r="35" customFormat="false" ht="15" hidden="false" customHeight="false" outlineLevel="0" collapsed="false">
      <c r="B35" s="2" t="s">
        <v>55</v>
      </c>
      <c r="C35" s="6" t="s">
        <v>51</v>
      </c>
    </row>
    <row r="36" customFormat="false" ht="26.85" hidden="false" customHeight="false" outlineLevel="0" collapsed="false">
      <c r="B36" s="2" t="s">
        <v>56</v>
      </c>
      <c r="C36" s="6" t="s">
        <v>57</v>
      </c>
    </row>
    <row r="37" customFormat="false" ht="15" hidden="false" customHeight="false" outlineLevel="0" collapsed="false">
      <c r="B37" s="2" t="s">
        <v>58</v>
      </c>
      <c r="C37" s="6" t="s">
        <v>59</v>
      </c>
    </row>
    <row r="38" customFormat="false" ht="15" hidden="false" customHeight="false" outlineLevel="0" collapsed="false">
      <c r="B38" s="2" t="s">
        <v>60</v>
      </c>
      <c r="C38" s="6" t="s">
        <v>61</v>
      </c>
    </row>
    <row r="39" customFormat="false" ht="15" hidden="false" customHeight="false" outlineLevel="0" collapsed="false">
      <c r="B39" s="2" t="s">
        <v>62</v>
      </c>
      <c r="C39" s="6" t="s">
        <v>63</v>
      </c>
    </row>
    <row r="40" customFormat="false" ht="15" hidden="false" customHeight="false" outlineLevel="0" collapsed="false">
      <c r="B40" s="2" t="s">
        <v>64</v>
      </c>
      <c r="C40" s="6" t="s">
        <v>65</v>
      </c>
    </row>
    <row r="41" customFormat="false" ht="26.85" hidden="false" customHeight="false" outlineLevel="0" collapsed="false">
      <c r="B41" s="2" t="s">
        <v>66</v>
      </c>
      <c r="C41" s="6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</cols>
  <sheetData>
    <row r="1" customFormat="false" ht="17.35" hidden="false" customHeight="false" outlineLevel="0" collapsed="false">
      <c r="A1" s="1" t="s">
        <v>68</v>
      </c>
    </row>
    <row r="3" customFormat="false" ht="15" hidden="false" customHeight="false" outlineLevel="0" collapsed="false">
      <c r="A3" s="7"/>
      <c r="B3" s="7" t="s">
        <v>69</v>
      </c>
      <c r="C3" s="7" t="s">
        <v>70</v>
      </c>
    </row>
    <row r="4" customFormat="false" ht="15" hidden="false" customHeight="false" outlineLevel="0" collapsed="false">
      <c r="A4" s="2" t="s">
        <v>71</v>
      </c>
      <c r="B4" s="8" t="n">
        <f aca="false">COUNTA(Incidentes!B2:B24)</f>
        <v>23</v>
      </c>
      <c r="C4" s="8" t="n">
        <f aca="false">COUNTA('Hechos clave'!A2:A17)</f>
        <v>16</v>
      </c>
    </row>
    <row r="5" customFormat="false" ht="15" hidden="false" customHeight="false" outlineLevel="0" collapsed="false">
      <c r="A5" s="2" t="s">
        <v>72</v>
      </c>
      <c r="B5" s="8" t="n">
        <f aca="false">COUNTA(Incidentes!T2:T24)</f>
        <v>0</v>
      </c>
      <c r="C5" s="8" t="n">
        <f aca="false">COUNTA('Hechos clave'!O2:O17)</f>
        <v>0</v>
      </c>
    </row>
    <row r="6" customFormat="false" ht="15" hidden="false" customHeight="false" outlineLevel="0" collapsed="false">
      <c r="A6" s="2" t="s">
        <v>65</v>
      </c>
      <c r="B6" s="8" t="n">
        <f aca="false">COUNTIF(Incidentes!T2:T24,"Confirmado")</f>
        <v>0</v>
      </c>
      <c r="C6" s="8" t="n">
        <f aca="false">COUNTIF('Hechos clave'!O2:O17,"Confirmado")</f>
        <v>0</v>
      </c>
    </row>
    <row r="7" customFormat="false" ht="15" hidden="false" customHeight="false" outlineLevel="0" collapsed="false">
      <c r="A7" s="2" t="s">
        <v>73</v>
      </c>
      <c r="B7" s="8" t="n">
        <f aca="false">COUNTIF(Incidentes!T2:T24,"Reivindicado sin confirmar")</f>
        <v>0</v>
      </c>
      <c r="C7" s="8" t="n">
        <f aca="false">COUNTIF('Hechos clave'!O2:O17,"Reivindicado sin confirmar")</f>
        <v>0</v>
      </c>
    </row>
    <row r="8" customFormat="false" ht="15" hidden="false" customHeight="false" outlineLevel="0" collapsed="false">
      <c r="A8" s="2" t="s">
        <v>74</v>
      </c>
      <c r="B8" s="8" t="n">
        <f aca="false">COUNTIF(Incidentes!T2:T24,"Descartado")</f>
        <v>0</v>
      </c>
      <c r="C8" s="8" t="n">
        <f aca="false">COUNTIF('Hechos clave'!O2:O17,"Descartado")</f>
        <v>0</v>
      </c>
    </row>
    <row r="9" customFormat="false" ht="15" hidden="false" customHeight="false" outlineLevel="0" collapsed="false">
      <c r="A9" s="2" t="s">
        <v>75</v>
      </c>
      <c r="B9" s="9" t="n">
        <f aca="false">IF(B4=0,0,B5/B4)</f>
        <v>0</v>
      </c>
      <c r="C9" s="9" t="n">
        <f aca="false">IF(C4=0,0,C5/C4)</f>
        <v>0</v>
      </c>
    </row>
    <row r="11" customFormat="false" ht="15" hidden="false" customHeight="false" outlineLevel="0" collapsed="false">
      <c r="A11" s="1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1"/>
    <col collapsed="false" customWidth="true" hidden="false" outlineLevel="0" max="10" min="9" style="0" width="10"/>
    <col collapsed="false" customWidth="true" hidden="false" outlineLevel="0" max="11" min="11" style="0" width="30"/>
    <col collapsed="false" customWidth="true" hidden="false" outlineLevel="0" max="15" min="12" style="0" width="14"/>
    <col collapsed="false" customWidth="true" hidden="false" outlineLevel="0" max="16" min="16" style="0" width="30"/>
    <col collapsed="false" customWidth="true" hidden="false" outlineLevel="0" max="18" min="17" style="0" width="11"/>
    <col collapsed="false" customWidth="true" hidden="false" outlineLevel="0" max="19" min="19" style="0" width="9"/>
    <col collapsed="false" customWidth="true" hidden="false" outlineLevel="0" max="20" min="20" style="0" width="20"/>
    <col collapsed="false" customWidth="true" hidden="false" outlineLevel="0" max="21" min="21" style="0" width="40"/>
  </cols>
  <sheetData>
    <row r="1" customFormat="false" ht="45" hidden="false" customHeight="true" outlineLevel="0" collapsed="false">
      <c r="A1" s="11" t="s">
        <v>77</v>
      </c>
      <c r="B1" s="11" t="s">
        <v>78</v>
      </c>
      <c r="C1" s="11" t="s">
        <v>79</v>
      </c>
      <c r="D1" s="11" t="s">
        <v>80</v>
      </c>
      <c r="E1" s="11" t="s">
        <v>81</v>
      </c>
      <c r="F1" s="11" t="s">
        <v>82</v>
      </c>
      <c r="G1" s="11" t="s">
        <v>83</v>
      </c>
      <c r="H1" s="11" t="s">
        <v>84</v>
      </c>
      <c r="I1" s="11" t="s">
        <v>85</v>
      </c>
      <c r="J1" s="11" t="s">
        <v>86</v>
      </c>
      <c r="K1" s="11" t="s">
        <v>87</v>
      </c>
      <c r="L1" s="12" t="s">
        <v>50</v>
      </c>
      <c r="M1" s="12" t="s">
        <v>88</v>
      </c>
      <c r="N1" s="12" t="s">
        <v>54</v>
      </c>
      <c r="O1" s="12" t="s">
        <v>55</v>
      </c>
      <c r="P1" s="12" t="s">
        <v>89</v>
      </c>
      <c r="Q1" s="12" t="s">
        <v>90</v>
      </c>
      <c r="R1" s="12" t="s">
        <v>91</v>
      </c>
      <c r="S1" s="12" t="s">
        <v>62</v>
      </c>
      <c r="T1" s="12" t="s">
        <v>64</v>
      </c>
      <c r="U1" s="12" t="s">
        <v>66</v>
      </c>
    </row>
    <row r="2" customFormat="false" ht="48" hidden="false" customHeight="true" outlineLevel="0" collapsed="false">
      <c r="A2" s="13" t="s">
        <v>92</v>
      </c>
      <c r="B2" s="13" t="s">
        <v>93</v>
      </c>
      <c r="C2" s="13" t="s">
        <v>94</v>
      </c>
      <c r="D2" s="13" t="s">
        <v>95</v>
      </c>
      <c r="E2" s="13" t="s">
        <v>96</v>
      </c>
      <c r="F2" s="13" t="s">
        <v>97</v>
      </c>
      <c r="G2" s="13" t="s">
        <v>98</v>
      </c>
      <c r="H2" s="13" t="s">
        <v>99</v>
      </c>
      <c r="I2" s="14" t="s">
        <v>100</v>
      </c>
      <c r="J2" s="13" t="s">
        <v>101</v>
      </c>
      <c r="K2" s="13" t="s">
        <v>102</v>
      </c>
      <c r="L2" s="15"/>
      <c r="M2" s="15"/>
      <c r="N2" s="15"/>
      <c r="O2" s="15"/>
      <c r="P2" s="15"/>
      <c r="Q2" s="15"/>
      <c r="R2" s="15"/>
      <c r="S2" s="16" t="str">
        <f aca="false">IF(OR(Q2="",R2=""),"",Q2&amp;R2)</f>
        <v/>
      </c>
      <c r="T2" s="15"/>
      <c r="U2" s="15"/>
    </row>
    <row r="3" customFormat="false" ht="48" hidden="false" customHeight="true" outlineLevel="0" collapsed="false">
      <c r="A3" s="13" t="s">
        <v>103</v>
      </c>
      <c r="B3" s="13" t="s">
        <v>104</v>
      </c>
      <c r="C3" s="13" t="s">
        <v>105</v>
      </c>
      <c r="D3" s="13" t="s">
        <v>106</v>
      </c>
      <c r="E3" s="13" t="s">
        <v>107</v>
      </c>
      <c r="F3" s="13" t="s">
        <v>108</v>
      </c>
      <c r="G3" s="13" t="s">
        <v>109</v>
      </c>
      <c r="H3" s="13" t="s">
        <v>110</v>
      </c>
      <c r="I3" s="14" t="s">
        <v>100</v>
      </c>
      <c r="J3" s="13" t="s">
        <v>111</v>
      </c>
      <c r="K3" s="13" t="s">
        <v>112</v>
      </c>
      <c r="L3" s="15"/>
      <c r="M3" s="15"/>
      <c r="N3" s="15"/>
      <c r="O3" s="15"/>
      <c r="P3" s="15"/>
      <c r="Q3" s="15"/>
      <c r="R3" s="15"/>
      <c r="S3" s="16" t="str">
        <f aca="false">IF(OR(Q3="",R3=""),"",Q3&amp;R3)</f>
        <v/>
      </c>
      <c r="T3" s="15"/>
      <c r="U3" s="15"/>
    </row>
    <row r="4" customFormat="false" ht="48" hidden="false" customHeight="true" outlineLevel="0" collapsed="false">
      <c r="A4" s="13" t="s">
        <v>92</v>
      </c>
      <c r="B4" s="13" t="s">
        <v>113</v>
      </c>
      <c r="C4" s="13" t="s">
        <v>114</v>
      </c>
      <c r="D4" s="13" t="s">
        <v>106</v>
      </c>
      <c r="E4" s="13" t="s">
        <v>115</v>
      </c>
      <c r="F4" s="13" t="s">
        <v>97</v>
      </c>
      <c r="G4" s="13" t="s">
        <v>116</v>
      </c>
      <c r="H4" s="13" t="s">
        <v>99</v>
      </c>
      <c r="I4" s="14" t="s">
        <v>100</v>
      </c>
      <c r="J4" s="13" t="s">
        <v>101</v>
      </c>
      <c r="K4" s="13" t="s">
        <v>117</v>
      </c>
      <c r="L4" s="15"/>
      <c r="M4" s="15"/>
      <c r="N4" s="15"/>
      <c r="O4" s="15"/>
      <c r="P4" s="15"/>
      <c r="Q4" s="15"/>
      <c r="R4" s="15"/>
      <c r="S4" s="16" t="str">
        <f aca="false">IF(OR(Q4="",R4=""),"",Q4&amp;R4)</f>
        <v/>
      </c>
      <c r="T4" s="15"/>
      <c r="U4" s="15"/>
    </row>
    <row r="5" customFormat="false" ht="48" hidden="false" customHeight="true" outlineLevel="0" collapsed="false">
      <c r="A5" s="13" t="s">
        <v>103</v>
      </c>
      <c r="B5" s="13" t="s">
        <v>118</v>
      </c>
      <c r="C5" s="13" t="s">
        <v>53</v>
      </c>
      <c r="D5" s="13" t="s">
        <v>95</v>
      </c>
      <c r="E5" s="13" t="s">
        <v>119</v>
      </c>
      <c r="F5" s="13" t="s">
        <v>108</v>
      </c>
      <c r="G5" s="13" t="s">
        <v>120</v>
      </c>
      <c r="H5" s="13" t="s">
        <v>121</v>
      </c>
      <c r="I5" s="14" t="s">
        <v>100</v>
      </c>
      <c r="J5" s="13" t="s">
        <v>111</v>
      </c>
      <c r="K5" s="13" t="s">
        <v>122</v>
      </c>
      <c r="L5" s="15"/>
      <c r="M5" s="15"/>
      <c r="N5" s="15"/>
      <c r="O5" s="15"/>
      <c r="P5" s="15"/>
      <c r="Q5" s="15"/>
      <c r="R5" s="15"/>
      <c r="S5" s="16" t="str">
        <f aca="false">IF(OR(Q5="",R5=""),"",Q5&amp;R5)</f>
        <v/>
      </c>
      <c r="T5" s="15"/>
      <c r="U5" s="15"/>
    </row>
    <row r="6" customFormat="false" ht="48" hidden="false" customHeight="true" outlineLevel="0" collapsed="false">
      <c r="A6" s="13" t="s">
        <v>92</v>
      </c>
      <c r="B6" s="13" t="s">
        <v>123</v>
      </c>
      <c r="C6" s="13" t="s">
        <v>124</v>
      </c>
      <c r="D6" s="13" t="s">
        <v>106</v>
      </c>
      <c r="E6" s="13" t="s">
        <v>125</v>
      </c>
      <c r="F6" s="13" t="s">
        <v>97</v>
      </c>
      <c r="G6" s="13" t="s">
        <v>126</v>
      </c>
      <c r="H6" s="13" t="s">
        <v>99</v>
      </c>
      <c r="I6" s="14" t="s">
        <v>100</v>
      </c>
      <c r="J6" s="13" t="s">
        <v>101</v>
      </c>
      <c r="K6" s="13" t="s">
        <v>127</v>
      </c>
      <c r="L6" s="15"/>
      <c r="M6" s="15"/>
      <c r="N6" s="15"/>
      <c r="O6" s="15"/>
      <c r="P6" s="15"/>
      <c r="Q6" s="15"/>
      <c r="R6" s="15"/>
      <c r="S6" s="16" t="str">
        <f aca="false">IF(OR(Q6="",R6=""),"",Q6&amp;R6)</f>
        <v/>
      </c>
      <c r="T6" s="15"/>
      <c r="U6" s="15"/>
    </row>
    <row r="7" customFormat="false" ht="48" hidden="false" customHeight="true" outlineLevel="0" collapsed="false">
      <c r="A7" s="13" t="s">
        <v>128</v>
      </c>
      <c r="B7" s="13" t="s">
        <v>129</v>
      </c>
      <c r="C7" s="13" t="s">
        <v>130</v>
      </c>
      <c r="D7" s="13" t="s">
        <v>95</v>
      </c>
      <c r="E7" s="13" t="s">
        <v>131</v>
      </c>
      <c r="F7" s="13" t="s">
        <v>132</v>
      </c>
      <c r="G7" s="13" t="s">
        <v>133</v>
      </c>
      <c r="H7" s="13" t="s">
        <v>110</v>
      </c>
      <c r="I7" s="14" t="s">
        <v>100</v>
      </c>
      <c r="J7" s="13" t="s">
        <v>134</v>
      </c>
      <c r="K7" s="13" t="s">
        <v>135</v>
      </c>
      <c r="L7" s="15"/>
      <c r="M7" s="15"/>
      <c r="N7" s="15"/>
      <c r="O7" s="15"/>
      <c r="P7" s="15"/>
      <c r="Q7" s="15"/>
      <c r="R7" s="15"/>
      <c r="S7" s="16" t="str">
        <f aca="false">IF(OR(Q7="",R7=""),"",Q7&amp;R7)</f>
        <v/>
      </c>
      <c r="T7" s="15"/>
      <c r="U7" s="15"/>
    </row>
    <row r="8" customFormat="false" ht="48" hidden="false" customHeight="true" outlineLevel="0" collapsed="false">
      <c r="A8" s="13" t="s">
        <v>128</v>
      </c>
      <c r="B8" s="13" t="s">
        <v>136</v>
      </c>
      <c r="C8" s="13" t="s">
        <v>137</v>
      </c>
      <c r="D8" s="13" t="s">
        <v>95</v>
      </c>
      <c r="E8" s="13" t="s">
        <v>138</v>
      </c>
      <c r="F8" s="13" t="s">
        <v>132</v>
      </c>
      <c r="G8" s="13" t="s">
        <v>139</v>
      </c>
      <c r="H8" s="13" t="s">
        <v>140</v>
      </c>
      <c r="I8" s="14" t="s">
        <v>100</v>
      </c>
      <c r="J8" s="13" t="s">
        <v>134</v>
      </c>
      <c r="K8" s="13" t="s">
        <v>141</v>
      </c>
      <c r="L8" s="15"/>
      <c r="M8" s="15"/>
      <c r="N8" s="15"/>
      <c r="O8" s="15"/>
      <c r="P8" s="15"/>
      <c r="Q8" s="15"/>
      <c r="R8" s="15"/>
      <c r="S8" s="16" t="str">
        <f aca="false">IF(OR(Q8="",R8=""),"",Q8&amp;R8)</f>
        <v/>
      </c>
      <c r="T8" s="15"/>
      <c r="U8" s="15"/>
    </row>
    <row r="9" customFormat="false" ht="48" hidden="false" customHeight="true" outlineLevel="0" collapsed="false">
      <c r="A9" s="13" t="s">
        <v>92</v>
      </c>
      <c r="B9" s="13" t="s">
        <v>142</v>
      </c>
      <c r="C9" s="13" t="s">
        <v>143</v>
      </c>
      <c r="D9" s="13" t="s">
        <v>106</v>
      </c>
      <c r="E9" s="13" t="s">
        <v>144</v>
      </c>
      <c r="F9" s="13" t="s">
        <v>97</v>
      </c>
      <c r="G9" s="13" t="s">
        <v>145</v>
      </c>
      <c r="H9" s="13" t="s">
        <v>99</v>
      </c>
      <c r="I9" s="14" t="s">
        <v>100</v>
      </c>
      <c r="J9" s="13" t="s">
        <v>101</v>
      </c>
      <c r="K9" s="13" t="s">
        <v>127</v>
      </c>
      <c r="L9" s="15"/>
      <c r="M9" s="15"/>
      <c r="N9" s="15"/>
      <c r="O9" s="15"/>
      <c r="P9" s="15"/>
      <c r="Q9" s="15"/>
      <c r="R9" s="15"/>
      <c r="S9" s="16" t="str">
        <f aca="false">IF(OR(Q9="",R9=""),"",Q9&amp;R9)</f>
        <v/>
      </c>
      <c r="T9" s="15"/>
      <c r="U9" s="15"/>
    </row>
    <row r="10" customFormat="false" ht="48" hidden="false" customHeight="true" outlineLevel="0" collapsed="false">
      <c r="A10" s="13" t="s">
        <v>128</v>
      </c>
      <c r="B10" s="13" t="s">
        <v>146</v>
      </c>
      <c r="C10" s="13" t="s">
        <v>147</v>
      </c>
      <c r="D10" s="13" t="s">
        <v>95</v>
      </c>
      <c r="E10" s="13" t="s">
        <v>148</v>
      </c>
      <c r="F10" s="13" t="s">
        <v>97</v>
      </c>
      <c r="G10" s="13" t="s">
        <v>149</v>
      </c>
      <c r="H10" s="13" t="s">
        <v>99</v>
      </c>
      <c r="I10" s="14" t="s">
        <v>100</v>
      </c>
      <c r="J10" s="13" t="s">
        <v>111</v>
      </c>
      <c r="K10" s="13" t="s">
        <v>150</v>
      </c>
      <c r="L10" s="15"/>
      <c r="M10" s="15"/>
      <c r="N10" s="15"/>
      <c r="O10" s="15"/>
      <c r="P10" s="15"/>
      <c r="Q10" s="15"/>
      <c r="R10" s="15"/>
      <c r="S10" s="16" t="str">
        <f aca="false">IF(OR(Q10="",R10=""),"",Q10&amp;R10)</f>
        <v/>
      </c>
      <c r="T10" s="15"/>
      <c r="U10" s="15"/>
    </row>
    <row r="11" customFormat="false" ht="48" hidden="false" customHeight="true" outlineLevel="0" collapsed="false">
      <c r="A11" s="13" t="s">
        <v>92</v>
      </c>
      <c r="B11" s="13" t="s">
        <v>151</v>
      </c>
      <c r="C11" s="13" t="s">
        <v>152</v>
      </c>
      <c r="D11" s="13" t="s">
        <v>106</v>
      </c>
      <c r="E11" s="13" t="s">
        <v>153</v>
      </c>
      <c r="F11" s="13" t="s">
        <v>97</v>
      </c>
      <c r="G11" s="13" t="s">
        <v>154</v>
      </c>
      <c r="H11" s="13" t="s">
        <v>99</v>
      </c>
      <c r="I11" s="14" t="s">
        <v>100</v>
      </c>
      <c r="J11" s="13" t="s">
        <v>101</v>
      </c>
      <c r="K11" s="13" t="s">
        <v>155</v>
      </c>
      <c r="L11" s="15"/>
      <c r="M11" s="15"/>
      <c r="N11" s="15"/>
      <c r="O11" s="15"/>
      <c r="P11" s="15"/>
      <c r="Q11" s="15"/>
      <c r="R11" s="15"/>
      <c r="S11" s="16" t="str">
        <f aca="false">IF(OR(Q11="",R11=""),"",Q11&amp;R11)</f>
        <v/>
      </c>
      <c r="T11" s="15"/>
      <c r="U11" s="15"/>
    </row>
    <row r="12" customFormat="false" ht="48" hidden="false" customHeight="true" outlineLevel="0" collapsed="false">
      <c r="A12" s="13" t="s">
        <v>103</v>
      </c>
      <c r="B12" s="13" t="s">
        <v>156</v>
      </c>
      <c r="C12" s="13" t="s">
        <v>157</v>
      </c>
      <c r="D12" s="13" t="s">
        <v>95</v>
      </c>
      <c r="E12" s="13" t="s">
        <v>158</v>
      </c>
      <c r="F12" s="13" t="s">
        <v>108</v>
      </c>
      <c r="G12" s="13" t="s">
        <v>159</v>
      </c>
      <c r="H12" s="13" t="s">
        <v>110</v>
      </c>
      <c r="I12" s="14" t="s">
        <v>100</v>
      </c>
      <c r="J12" s="13" t="s">
        <v>111</v>
      </c>
      <c r="K12" s="13" t="s">
        <v>160</v>
      </c>
      <c r="L12" s="15"/>
      <c r="M12" s="15"/>
      <c r="N12" s="15"/>
      <c r="O12" s="15"/>
      <c r="P12" s="15"/>
      <c r="Q12" s="15"/>
      <c r="R12" s="15"/>
      <c r="S12" s="16" t="str">
        <f aca="false">IF(OR(Q12="",R12=""),"",Q12&amp;R12)</f>
        <v/>
      </c>
      <c r="T12" s="15"/>
      <c r="U12" s="15"/>
    </row>
    <row r="13" customFormat="false" ht="48" hidden="false" customHeight="true" outlineLevel="0" collapsed="false">
      <c r="A13" s="13" t="s">
        <v>103</v>
      </c>
      <c r="B13" s="13" t="s">
        <v>161</v>
      </c>
      <c r="C13" s="13" t="s">
        <v>162</v>
      </c>
      <c r="D13" s="13" t="s">
        <v>95</v>
      </c>
      <c r="E13" s="13" t="s">
        <v>158</v>
      </c>
      <c r="F13" s="13" t="s">
        <v>108</v>
      </c>
      <c r="G13" s="13" t="s">
        <v>163</v>
      </c>
      <c r="H13" s="13" t="s">
        <v>164</v>
      </c>
      <c r="I13" s="14" t="s">
        <v>100</v>
      </c>
      <c r="J13" s="13" t="s">
        <v>101</v>
      </c>
      <c r="K13" s="13" t="s">
        <v>165</v>
      </c>
      <c r="L13" s="15"/>
      <c r="M13" s="15"/>
      <c r="N13" s="15"/>
      <c r="O13" s="15"/>
      <c r="P13" s="15"/>
      <c r="Q13" s="15"/>
      <c r="R13" s="15"/>
      <c r="S13" s="16" t="str">
        <f aca="false">IF(OR(Q13="",R13=""),"",Q13&amp;R13)</f>
        <v/>
      </c>
      <c r="T13" s="15"/>
      <c r="U13" s="15"/>
    </row>
    <row r="14" customFormat="false" ht="48" hidden="false" customHeight="true" outlineLevel="0" collapsed="false">
      <c r="A14" s="13" t="s">
        <v>103</v>
      </c>
      <c r="B14" s="13" t="s">
        <v>166</v>
      </c>
      <c r="C14" s="13" t="s">
        <v>167</v>
      </c>
      <c r="D14" s="13" t="s">
        <v>168</v>
      </c>
      <c r="E14" s="13" t="s">
        <v>158</v>
      </c>
      <c r="F14" s="13" t="s">
        <v>108</v>
      </c>
      <c r="G14" s="13" t="s">
        <v>169</v>
      </c>
      <c r="H14" s="13" t="s">
        <v>140</v>
      </c>
      <c r="I14" s="14" t="s">
        <v>100</v>
      </c>
      <c r="J14" s="13" t="s">
        <v>101</v>
      </c>
      <c r="K14" s="13" t="s">
        <v>170</v>
      </c>
      <c r="L14" s="15"/>
      <c r="M14" s="15"/>
      <c r="N14" s="15"/>
      <c r="O14" s="15"/>
      <c r="P14" s="15"/>
      <c r="Q14" s="15"/>
      <c r="R14" s="15"/>
      <c r="S14" s="16" t="str">
        <f aca="false">IF(OR(Q14="",R14=""),"",Q14&amp;R14)</f>
        <v/>
      </c>
      <c r="T14" s="15"/>
      <c r="U14" s="15"/>
    </row>
    <row r="15" customFormat="false" ht="48" hidden="false" customHeight="true" outlineLevel="0" collapsed="false">
      <c r="A15" s="13" t="s">
        <v>92</v>
      </c>
      <c r="B15" s="13" t="s">
        <v>171</v>
      </c>
      <c r="C15" s="13" t="s">
        <v>172</v>
      </c>
      <c r="D15" s="13" t="s">
        <v>95</v>
      </c>
      <c r="E15" s="13" t="s">
        <v>131</v>
      </c>
      <c r="F15" s="13" t="s">
        <v>132</v>
      </c>
      <c r="G15" s="13" t="s">
        <v>173</v>
      </c>
      <c r="H15" s="13" t="s">
        <v>99</v>
      </c>
      <c r="I15" s="14" t="s">
        <v>100</v>
      </c>
      <c r="J15" s="13" t="s">
        <v>101</v>
      </c>
      <c r="K15" s="13" t="s">
        <v>174</v>
      </c>
      <c r="L15" s="15"/>
      <c r="M15" s="15"/>
      <c r="N15" s="15"/>
      <c r="O15" s="15"/>
      <c r="P15" s="15"/>
      <c r="Q15" s="15"/>
      <c r="R15" s="15"/>
      <c r="S15" s="16" t="str">
        <f aca="false">IF(OR(Q15="",R15=""),"",Q15&amp;R15)</f>
        <v/>
      </c>
      <c r="T15" s="15"/>
      <c r="U15" s="15"/>
    </row>
    <row r="16" customFormat="false" ht="48" hidden="false" customHeight="true" outlineLevel="0" collapsed="false">
      <c r="A16" s="13" t="s">
        <v>128</v>
      </c>
      <c r="B16" s="13" t="s">
        <v>175</v>
      </c>
      <c r="C16" s="13" t="s">
        <v>176</v>
      </c>
      <c r="D16" s="13" t="s">
        <v>106</v>
      </c>
      <c r="E16" s="13" t="s">
        <v>131</v>
      </c>
      <c r="F16" s="13" t="s">
        <v>97</v>
      </c>
      <c r="G16" s="13" t="s">
        <v>177</v>
      </c>
      <c r="H16" s="13" t="s">
        <v>110</v>
      </c>
      <c r="I16" s="14" t="s">
        <v>100</v>
      </c>
      <c r="J16" s="13" t="s">
        <v>134</v>
      </c>
      <c r="K16" s="13" t="s">
        <v>178</v>
      </c>
      <c r="L16" s="15"/>
      <c r="M16" s="15"/>
      <c r="N16" s="15"/>
      <c r="O16" s="15"/>
      <c r="P16" s="15"/>
      <c r="Q16" s="15"/>
      <c r="R16" s="15"/>
      <c r="S16" s="16" t="str">
        <f aca="false">IF(OR(Q16="",R16=""),"",Q16&amp;R16)</f>
        <v/>
      </c>
      <c r="T16" s="15"/>
      <c r="U16" s="15"/>
    </row>
    <row r="17" customFormat="false" ht="48" hidden="false" customHeight="true" outlineLevel="0" collapsed="false">
      <c r="A17" s="13" t="s">
        <v>128</v>
      </c>
      <c r="B17" s="13" t="s">
        <v>179</v>
      </c>
      <c r="C17" s="13" t="s">
        <v>180</v>
      </c>
      <c r="D17" s="13" t="s">
        <v>106</v>
      </c>
      <c r="E17" s="13" t="s">
        <v>131</v>
      </c>
      <c r="F17" s="13" t="s">
        <v>97</v>
      </c>
      <c r="G17" s="13" t="s">
        <v>181</v>
      </c>
      <c r="H17" s="13" t="s">
        <v>110</v>
      </c>
      <c r="I17" s="14" t="s">
        <v>100</v>
      </c>
      <c r="J17" s="13" t="s">
        <v>111</v>
      </c>
      <c r="K17" s="13" t="s">
        <v>182</v>
      </c>
      <c r="L17" s="15"/>
      <c r="M17" s="15"/>
      <c r="N17" s="15"/>
      <c r="O17" s="15"/>
      <c r="P17" s="15"/>
      <c r="Q17" s="15"/>
      <c r="R17" s="15"/>
      <c r="S17" s="16" t="str">
        <f aca="false">IF(OR(Q17="",R17=""),"",Q17&amp;R17)</f>
        <v/>
      </c>
      <c r="T17" s="15"/>
      <c r="U17" s="15"/>
    </row>
    <row r="18" customFormat="false" ht="48" hidden="false" customHeight="true" outlineLevel="0" collapsed="false">
      <c r="A18" s="13" t="s">
        <v>103</v>
      </c>
      <c r="B18" s="13" t="s">
        <v>183</v>
      </c>
      <c r="C18" s="13" t="s">
        <v>184</v>
      </c>
      <c r="D18" s="13" t="s">
        <v>106</v>
      </c>
      <c r="E18" s="13" t="s">
        <v>158</v>
      </c>
      <c r="F18" s="13" t="s">
        <v>108</v>
      </c>
      <c r="G18" s="13" t="s">
        <v>185</v>
      </c>
      <c r="H18" s="13" t="s">
        <v>110</v>
      </c>
      <c r="I18" s="14" t="s">
        <v>100</v>
      </c>
      <c r="J18" s="13" t="s">
        <v>111</v>
      </c>
      <c r="K18" s="13" t="s">
        <v>186</v>
      </c>
      <c r="L18" s="15"/>
      <c r="M18" s="15"/>
      <c r="N18" s="15"/>
      <c r="O18" s="15"/>
      <c r="P18" s="15"/>
      <c r="Q18" s="15"/>
      <c r="R18" s="15"/>
      <c r="S18" s="16" t="str">
        <f aca="false">IF(OR(Q18="",R18=""),"",Q18&amp;R18)</f>
        <v/>
      </c>
      <c r="T18" s="15"/>
      <c r="U18" s="15"/>
    </row>
    <row r="19" customFormat="false" ht="48" hidden="false" customHeight="true" outlineLevel="0" collapsed="false">
      <c r="A19" s="13" t="s">
        <v>128</v>
      </c>
      <c r="B19" s="13" t="s">
        <v>187</v>
      </c>
      <c r="C19" s="13" t="s">
        <v>188</v>
      </c>
      <c r="D19" s="13" t="s">
        <v>95</v>
      </c>
      <c r="E19" s="13" t="s">
        <v>131</v>
      </c>
      <c r="F19" s="13" t="s">
        <v>132</v>
      </c>
      <c r="G19" s="13" t="s">
        <v>189</v>
      </c>
      <c r="H19" s="13" t="s">
        <v>110</v>
      </c>
      <c r="I19" s="14" t="s">
        <v>100</v>
      </c>
      <c r="J19" s="13" t="s">
        <v>134</v>
      </c>
      <c r="K19" s="13" t="s">
        <v>190</v>
      </c>
      <c r="L19" s="15"/>
      <c r="M19" s="15"/>
      <c r="N19" s="15"/>
      <c r="O19" s="15"/>
      <c r="P19" s="15"/>
      <c r="Q19" s="15"/>
      <c r="R19" s="15"/>
      <c r="S19" s="16" t="str">
        <f aca="false">IF(OR(Q19="",R19=""),"",Q19&amp;R19)</f>
        <v/>
      </c>
      <c r="T19" s="15"/>
      <c r="U19" s="15"/>
    </row>
    <row r="20" customFormat="false" ht="48" hidden="false" customHeight="true" outlineLevel="0" collapsed="false">
      <c r="A20" s="13" t="s">
        <v>128</v>
      </c>
      <c r="B20" s="13" t="s">
        <v>191</v>
      </c>
      <c r="C20" s="13" t="s">
        <v>192</v>
      </c>
      <c r="D20" s="13" t="s">
        <v>95</v>
      </c>
      <c r="E20" s="13" t="s">
        <v>131</v>
      </c>
      <c r="F20" s="13" t="s">
        <v>132</v>
      </c>
      <c r="G20" s="13" t="s">
        <v>193</v>
      </c>
      <c r="H20" s="13" t="s">
        <v>140</v>
      </c>
      <c r="I20" s="14" t="s">
        <v>100</v>
      </c>
      <c r="J20" s="13" t="s">
        <v>134</v>
      </c>
      <c r="K20" s="13" t="s">
        <v>194</v>
      </c>
      <c r="L20" s="15"/>
      <c r="M20" s="15"/>
      <c r="N20" s="15"/>
      <c r="O20" s="15"/>
      <c r="P20" s="15"/>
      <c r="Q20" s="15"/>
      <c r="R20" s="15"/>
      <c r="S20" s="16" t="str">
        <f aca="false">IF(OR(Q20="",R20=""),"",Q20&amp;R20)</f>
        <v/>
      </c>
      <c r="T20" s="15"/>
      <c r="U20" s="15"/>
    </row>
    <row r="21" customFormat="false" ht="48" hidden="false" customHeight="true" outlineLevel="0" collapsed="false">
      <c r="A21" s="13" t="s">
        <v>128</v>
      </c>
      <c r="B21" s="13" t="s">
        <v>195</v>
      </c>
      <c r="C21" s="13" t="s">
        <v>196</v>
      </c>
      <c r="D21" s="13" t="s">
        <v>95</v>
      </c>
      <c r="E21" s="13" t="s">
        <v>197</v>
      </c>
      <c r="F21" s="13" t="s">
        <v>97</v>
      </c>
      <c r="G21" s="13" t="s">
        <v>198</v>
      </c>
      <c r="H21" s="13" t="s">
        <v>99</v>
      </c>
      <c r="I21" s="14" t="s">
        <v>100</v>
      </c>
      <c r="J21" s="13" t="s">
        <v>134</v>
      </c>
      <c r="K21" s="13" t="s">
        <v>199</v>
      </c>
      <c r="L21" s="15"/>
      <c r="M21" s="15"/>
      <c r="N21" s="15"/>
      <c r="O21" s="15"/>
      <c r="P21" s="15"/>
      <c r="Q21" s="15"/>
      <c r="R21" s="15"/>
      <c r="S21" s="16" t="str">
        <f aca="false">IF(OR(Q21="",R21=""),"",Q21&amp;R21)</f>
        <v/>
      </c>
      <c r="T21" s="15"/>
      <c r="U21" s="15"/>
    </row>
    <row r="22" customFormat="false" ht="48" hidden="false" customHeight="true" outlineLevel="0" collapsed="false">
      <c r="A22" s="13" t="s">
        <v>103</v>
      </c>
      <c r="B22" s="13" t="s">
        <v>200</v>
      </c>
      <c r="C22" s="13" t="s">
        <v>201</v>
      </c>
      <c r="D22" s="13" t="s">
        <v>168</v>
      </c>
      <c r="E22" s="13" t="s">
        <v>202</v>
      </c>
      <c r="F22" s="13" t="s">
        <v>108</v>
      </c>
      <c r="G22" s="13" t="s">
        <v>203</v>
      </c>
      <c r="H22" s="13" t="s">
        <v>140</v>
      </c>
      <c r="I22" s="14" t="s">
        <v>100</v>
      </c>
      <c r="J22" s="13" t="s">
        <v>101</v>
      </c>
      <c r="K22" s="13" t="s">
        <v>204</v>
      </c>
      <c r="L22" s="15"/>
      <c r="M22" s="15"/>
      <c r="N22" s="15"/>
      <c r="O22" s="15"/>
      <c r="P22" s="15"/>
      <c r="Q22" s="15"/>
      <c r="R22" s="15"/>
      <c r="S22" s="16" t="str">
        <f aca="false">IF(OR(Q22="",R22=""),"",Q22&amp;R22)</f>
        <v/>
      </c>
      <c r="T22" s="15"/>
      <c r="U22" s="15"/>
    </row>
    <row r="23" customFormat="false" ht="48" hidden="false" customHeight="true" outlineLevel="0" collapsed="false">
      <c r="A23" s="13" t="s">
        <v>103</v>
      </c>
      <c r="B23" s="13" t="s">
        <v>205</v>
      </c>
      <c r="C23" s="13" t="s">
        <v>206</v>
      </c>
      <c r="D23" s="13" t="s">
        <v>206</v>
      </c>
      <c r="E23" s="13" t="s">
        <v>207</v>
      </c>
      <c r="F23" s="13" t="s">
        <v>108</v>
      </c>
      <c r="G23" s="13" t="s">
        <v>208</v>
      </c>
      <c r="H23" s="13" t="s">
        <v>110</v>
      </c>
      <c r="I23" s="14" t="s">
        <v>100</v>
      </c>
      <c r="J23" s="13" t="s">
        <v>101</v>
      </c>
      <c r="K23" s="13" t="s">
        <v>209</v>
      </c>
      <c r="L23" s="15"/>
      <c r="M23" s="15"/>
      <c r="N23" s="15"/>
      <c r="O23" s="15"/>
      <c r="P23" s="15"/>
      <c r="Q23" s="15"/>
      <c r="R23" s="15"/>
      <c r="S23" s="16" t="str">
        <f aca="false">IF(OR(Q23="",R23=""),"",Q23&amp;R23)</f>
        <v/>
      </c>
      <c r="T23" s="15"/>
      <c r="U23" s="15"/>
    </row>
    <row r="24" customFormat="false" ht="48" hidden="false" customHeight="true" outlineLevel="0" collapsed="false">
      <c r="A24" s="13" t="s">
        <v>103</v>
      </c>
      <c r="B24" s="13" t="s">
        <v>210</v>
      </c>
      <c r="C24" s="13" t="s">
        <v>206</v>
      </c>
      <c r="D24" s="13" t="s">
        <v>206</v>
      </c>
      <c r="E24" s="13" t="s">
        <v>211</v>
      </c>
      <c r="F24" s="13" t="s">
        <v>108</v>
      </c>
      <c r="G24" s="13" t="s">
        <v>212</v>
      </c>
      <c r="H24" s="13" t="s">
        <v>121</v>
      </c>
      <c r="I24" s="14" t="s">
        <v>100</v>
      </c>
      <c r="J24" s="13" t="s">
        <v>101</v>
      </c>
      <c r="K24" s="13" t="s">
        <v>213</v>
      </c>
      <c r="L24" s="15"/>
      <c r="M24" s="15"/>
      <c r="N24" s="15"/>
      <c r="O24" s="15"/>
      <c r="P24" s="15"/>
      <c r="Q24" s="15"/>
      <c r="R24" s="15"/>
      <c r="S24" s="16" t="str">
        <f aca="false">IF(OR(Q24="",R24=""),"",Q24&amp;R24)</f>
        <v/>
      </c>
      <c r="T24" s="15"/>
      <c r="U24" s="15"/>
    </row>
  </sheetData>
  <autoFilter ref="A1:U24"/>
  <conditionalFormatting sqref="T2:T24">
    <cfRule type="expression" priority="2" aboveAverage="0" equalAverage="0" bottom="0" percent="0" rank="0" text="" dxfId="8">
      <formula>T2="Confirmado"</formula>
    </cfRule>
    <cfRule type="expression" priority="3" aboveAverage="0" equalAverage="0" bottom="0" percent="0" rank="0" text="" dxfId="9">
      <formula>T2="Descartado"</formula>
    </cfRule>
  </conditionalFormatting>
  <dataValidations count="6">
    <dataValidation allowBlank="true" errorStyle="stop" operator="between" showDropDown="false" showErrorMessage="false" showInputMessage="false" sqref="L2:L24" type="list">
      <formula1>"Sí,No,No se pudo abrir"</formula1>
      <formula2>0</formula2>
    </dataValidation>
    <dataValidation allowBlank="true" errorStyle="stop" operator="between" showDropDown="false" showErrorMessage="false" showInputMessage="false" sqref="N2:N24" type="list">
      <formula1>"Sí,No,No se pudo abrir"</formula1>
      <formula2>0</formula2>
    </dataValidation>
    <dataValidation allowBlank="true" errorStyle="stop" operator="between" showDropDown="false" showErrorMessage="false" showInputMessage="false" sqref="O2:O24" type="list">
      <formula1>"Sí,No,No se pudo abrir"</formula1>
      <formula2>0</formula2>
    </dataValidation>
    <dataValidation allowBlank="true" errorStyle="stop" operator="between" showDropDown="false" showErrorMessage="false" showInputMessage="false" sqref="Q2:Q24" type="list">
      <formula1>"A,B,C,D,E,F"</formula1>
      <formula2>0</formula2>
    </dataValidation>
    <dataValidation allowBlank="true" errorStyle="stop" operator="between" showDropDown="false" showErrorMessage="false" showInputMessage="false" sqref="R2:R24" type="list">
      <formula1>"1,2,3,4,5,6"</formula1>
      <formula2>0</formula2>
    </dataValidation>
    <dataValidation allowBlank="true" errorStyle="stop" operator="between" showDropDown="false" showErrorMessage="false" showInputMessage="false" sqref="T2:T24" type="list">
      <formula1>"Confirmado,Reivindicado sin confirmar,Descartado"</formula1>
      <formula2>0</formula2>
    </dataValidation>
  </dataValidations>
  <hyperlinks>
    <hyperlink ref="I2" r:id="rId1" display="Abrir fuente"/>
    <hyperlink ref="I3" r:id="rId2" display="Abrir fuente"/>
    <hyperlink ref="I4" r:id="rId3" display="Abrir fuente"/>
    <hyperlink ref="I5" r:id="rId4" display="Abrir fuente"/>
    <hyperlink ref="I6" r:id="rId5" display="Abrir fuente"/>
    <hyperlink ref="I7" r:id="rId6" display="Abrir fuente"/>
    <hyperlink ref="I8" r:id="rId7" display="Abrir fuente"/>
    <hyperlink ref="I9" r:id="rId8" display="Abrir fuente"/>
    <hyperlink ref="I10" r:id="rId9" display="Abrir fuente"/>
    <hyperlink ref="I11" r:id="rId10" display="Abrir fuente"/>
    <hyperlink ref="I12" r:id="rId11" display="Abrir fuente"/>
    <hyperlink ref="I13" r:id="rId12" display="Abrir fuente"/>
    <hyperlink ref="I14" r:id="rId13" display="Abrir fuente"/>
    <hyperlink ref="I15" r:id="rId14" display="Abrir fuente"/>
    <hyperlink ref="I16" r:id="rId15" display="Abrir fuente"/>
    <hyperlink ref="I17" r:id="rId16" display="Abrir fuente"/>
    <hyperlink ref="I18" r:id="rId17" display="Abrir fuente"/>
    <hyperlink ref="I19" r:id="rId18" display="Abrir fuente"/>
    <hyperlink ref="I20" r:id="rId19" display="Abrir fuente"/>
    <hyperlink ref="I21" r:id="rId20" display="Abrir fuente"/>
    <hyperlink ref="I22" r:id="rId21" display="Abrir fuente"/>
    <hyperlink ref="I23" r:id="rId22" display="Abrir fuente"/>
    <hyperlink ref="I24" r:id="rId23" display="Abrir fuent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10" min="7" style="0" width="14"/>
    <col collapsed="false" customWidth="true" hidden="false" outlineLevel="0" max="11" min="11" style="0" width="30"/>
    <col collapsed="false" customWidth="true" hidden="false" outlineLevel="0" max="13" min="12" style="0" width="11"/>
    <col collapsed="false" customWidth="true" hidden="false" outlineLevel="0" max="14" min="14" style="0" width="9"/>
    <col collapsed="false" customWidth="true" hidden="false" outlineLevel="0" max="15" min="15" style="0" width="20"/>
    <col collapsed="false" customWidth="true" hidden="false" outlineLevel="0" max="16" min="16" style="0" width="40"/>
  </cols>
  <sheetData>
    <row r="1" customFormat="false" ht="45" hidden="false" customHeight="true" outlineLevel="0" collapsed="false">
      <c r="A1" s="11" t="s">
        <v>78</v>
      </c>
      <c r="B1" s="11" t="s">
        <v>79</v>
      </c>
      <c r="C1" s="11" t="s">
        <v>214</v>
      </c>
      <c r="D1" s="11" t="s">
        <v>215</v>
      </c>
      <c r="E1" s="11" t="s">
        <v>85</v>
      </c>
      <c r="F1" s="11" t="s">
        <v>86</v>
      </c>
      <c r="G1" s="12" t="s">
        <v>50</v>
      </c>
      <c r="H1" s="12" t="s">
        <v>88</v>
      </c>
      <c r="I1" s="12" t="s">
        <v>54</v>
      </c>
      <c r="J1" s="12" t="s">
        <v>55</v>
      </c>
      <c r="K1" s="12" t="s">
        <v>89</v>
      </c>
      <c r="L1" s="12" t="s">
        <v>90</v>
      </c>
      <c r="M1" s="12" t="s">
        <v>91</v>
      </c>
      <c r="N1" s="12" t="s">
        <v>62</v>
      </c>
      <c r="O1" s="12" t="s">
        <v>64</v>
      </c>
      <c r="P1" s="12" t="s">
        <v>66</v>
      </c>
    </row>
    <row r="2" customFormat="false" ht="48" hidden="false" customHeight="true" outlineLevel="0" collapsed="false">
      <c r="A2" s="13" t="s">
        <v>216</v>
      </c>
      <c r="B2" s="13" t="s">
        <v>217</v>
      </c>
      <c r="C2" s="13" t="s">
        <v>218</v>
      </c>
      <c r="D2" s="13" t="s">
        <v>219</v>
      </c>
      <c r="E2" s="13" t="s">
        <v>220</v>
      </c>
      <c r="F2" s="13" t="s">
        <v>134</v>
      </c>
      <c r="G2" s="15"/>
      <c r="H2" s="15"/>
      <c r="I2" s="15"/>
      <c r="J2" s="15"/>
      <c r="K2" s="15"/>
      <c r="L2" s="15"/>
      <c r="M2" s="15"/>
      <c r="N2" s="16" t="str">
        <f aca="false">IF(OR(L2="",M2=""),"",L2&amp;M2)</f>
        <v/>
      </c>
      <c r="O2" s="15"/>
      <c r="P2" s="15"/>
    </row>
    <row r="3" customFormat="false" ht="48" hidden="false" customHeight="true" outlineLevel="0" collapsed="false">
      <c r="A3" s="13" t="s">
        <v>221</v>
      </c>
      <c r="B3" s="13" t="s">
        <v>222</v>
      </c>
      <c r="C3" s="13" t="s">
        <v>223</v>
      </c>
      <c r="D3" s="13" t="s">
        <v>224</v>
      </c>
      <c r="E3" s="13" t="s">
        <v>220</v>
      </c>
      <c r="F3" s="13" t="s">
        <v>111</v>
      </c>
      <c r="G3" s="15"/>
      <c r="H3" s="15"/>
      <c r="I3" s="15"/>
      <c r="J3" s="15"/>
      <c r="K3" s="15"/>
      <c r="L3" s="15"/>
      <c r="M3" s="15"/>
      <c r="N3" s="16" t="str">
        <f aca="false">IF(OR(L3="",M3=""),"",L3&amp;M3)</f>
        <v/>
      </c>
      <c r="O3" s="15"/>
      <c r="P3" s="15"/>
    </row>
    <row r="4" customFormat="false" ht="48" hidden="false" customHeight="true" outlineLevel="0" collapsed="false">
      <c r="A4" s="13" t="s">
        <v>225</v>
      </c>
      <c r="B4" s="13" t="s">
        <v>226</v>
      </c>
      <c r="C4" s="13" t="s">
        <v>227</v>
      </c>
      <c r="D4" s="13" t="s">
        <v>224</v>
      </c>
      <c r="E4" s="13" t="s">
        <v>220</v>
      </c>
      <c r="F4" s="13" t="s">
        <v>111</v>
      </c>
      <c r="G4" s="15"/>
      <c r="H4" s="15"/>
      <c r="I4" s="15"/>
      <c r="J4" s="15"/>
      <c r="K4" s="15"/>
      <c r="L4" s="15"/>
      <c r="M4" s="15"/>
      <c r="N4" s="16" t="str">
        <f aca="false">IF(OR(L4="",M4=""),"",L4&amp;M4)</f>
        <v/>
      </c>
      <c r="O4" s="15"/>
      <c r="P4" s="15"/>
    </row>
    <row r="5" customFormat="false" ht="48" hidden="false" customHeight="true" outlineLevel="0" collapsed="false">
      <c r="A5" s="13" t="s">
        <v>228</v>
      </c>
      <c r="B5" s="13" t="s">
        <v>229</v>
      </c>
      <c r="C5" s="13" t="s">
        <v>230</v>
      </c>
      <c r="D5" s="13" t="s">
        <v>224</v>
      </c>
      <c r="E5" s="13" t="s">
        <v>220</v>
      </c>
      <c r="F5" s="13" t="s">
        <v>134</v>
      </c>
      <c r="G5" s="15"/>
      <c r="H5" s="15"/>
      <c r="I5" s="15"/>
      <c r="J5" s="15"/>
      <c r="K5" s="15"/>
      <c r="L5" s="15"/>
      <c r="M5" s="15"/>
      <c r="N5" s="16" t="str">
        <f aca="false">IF(OR(L5="",M5=""),"",L5&amp;M5)</f>
        <v/>
      </c>
      <c r="O5" s="15"/>
      <c r="P5" s="15"/>
    </row>
    <row r="6" customFormat="false" ht="48" hidden="false" customHeight="true" outlineLevel="0" collapsed="false">
      <c r="A6" s="13" t="s">
        <v>231</v>
      </c>
      <c r="B6" s="13" t="s">
        <v>232</v>
      </c>
      <c r="C6" s="13" t="s">
        <v>233</v>
      </c>
      <c r="D6" s="13" t="s">
        <v>234</v>
      </c>
      <c r="E6" s="13" t="s">
        <v>220</v>
      </c>
      <c r="F6" s="13" t="s">
        <v>134</v>
      </c>
      <c r="G6" s="15"/>
      <c r="H6" s="15"/>
      <c r="I6" s="15"/>
      <c r="J6" s="15"/>
      <c r="K6" s="15"/>
      <c r="L6" s="15"/>
      <c r="M6" s="15"/>
      <c r="N6" s="16" t="str">
        <f aca="false">IF(OR(L6="",M6=""),"",L6&amp;M6)</f>
        <v/>
      </c>
      <c r="O6" s="15"/>
      <c r="P6" s="15"/>
    </row>
    <row r="7" customFormat="false" ht="48" hidden="false" customHeight="true" outlineLevel="0" collapsed="false">
      <c r="A7" s="13" t="s">
        <v>235</v>
      </c>
      <c r="B7" s="13" t="s">
        <v>236</v>
      </c>
      <c r="C7" s="13" t="s">
        <v>237</v>
      </c>
      <c r="D7" s="13" t="s">
        <v>219</v>
      </c>
      <c r="E7" s="13" t="s">
        <v>220</v>
      </c>
      <c r="F7" s="13" t="s">
        <v>134</v>
      </c>
      <c r="G7" s="15"/>
      <c r="H7" s="15"/>
      <c r="I7" s="15"/>
      <c r="J7" s="15"/>
      <c r="K7" s="15"/>
      <c r="L7" s="15"/>
      <c r="M7" s="15"/>
      <c r="N7" s="16" t="str">
        <f aca="false">IF(OR(L7="",M7=""),"",L7&amp;M7)</f>
        <v/>
      </c>
      <c r="O7" s="15"/>
      <c r="P7" s="15"/>
    </row>
    <row r="8" customFormat="false" ht="48" hidden="false" customHeight="true" outlineLevel="0" collapsed="false">
      <c r="A8" s="13" t="s">
        <v>238</v>
      </c>
      <c r="B8" s="13" t="s">
        <v>239</v>
      </c>
      <c r="C8" s="13" t="s">
        <v>240</v>
      </c>
      <c r="D8" s="13" t="s">
        <v>224</v>
      </c>
      <c r="E8" s="13" t="s">
        <v>220</v>
      </c>
      <c r="F8" s="13" t="s">
        <v>111</v>
      </c>
      <c r="G8" s="15"/>
      <c r="H8" s="15"/>
      <c r="I8" s="15"/>
      <c r="J8" s="15"/>
      <c r="K8" s="15"/>
      <c r="L8" s="15"/>
      <c r="M8" s="15"/>
      <c r="N8" s="16" t="str">
        <f aca="false">IF(OR(L8="",M8=""),"",L8&amp;M8)</f>
        <v/>
      </c>
      <c r="O8" s="15"/>
      <c r="P8" s="15"/>
    </row>
    <row r="9" customFormat="false" ht="48" hidden="false" customHeight="true" outlineLevel="0" collapsed="false">
      <c r="A9" s="13" t="s">
        <v>241</v>
      </c>
      <c r="B9" s="13" t="s">
        <v>242</v>
      </c>
      <c r="C9" s="13" t="s">
        <v>243</v>
      </c>
      <c r="D9" s="13" t="s">
        <v>244</v>
      </c>
      <c r="E9" s="13" t="s">
        <v>220</v>
      </c>
      <c r="F9" s="13" t="s">
        <v>134</v>
      </c>
      <c r="G9" s="15"/>
      <c r="H9" s="15"/>
      <c r="I9" s="15"/>
      <c r="J9" s="15"/>
      <c r="K9" s="15"/>
      <c r="L9" s="15"/>
      <c r="M9" s="15"/>
      <c r="N9" s="16" t="str">
        <f aca="false">IF(OR(L9="",M9=""),"",L9&amp;M9)</f>
        <v/>
      </c>
      <c r="O9" s="15"/>
      <c r="P9" s="15"/>
    </row>
    <row r="10" customFormat="false" ht="48" hidden="false" customHeight="true" outlineLevel="0" collapsed="false">
      <c r="A10" s="13" t="s">
        <v>245</v>
      </c>
      <c r="B10" s="13" t="s">
        <v>246</v>
      </c>
      <c r="C10" s="13" t="s">
        <v>247</v>
      </c>
      <c r="D10" s="13" t="s">
        <v>224</v>
      </c>
      <c r="E10" s="14" t="s">
        <v>100</v>
      </c>
      <c r="F10" s="13" t="s">
        <v>134</v>
      </c>
      <c r="G10" s="15"/>
      <c r="H10" s="15"/>
      <c r="I10" s="15"/>
      <c r="J10" s="15"/>
      <c r="K10" s="15"/>
      <c r="L10" s="15"/>
      <c r="M10" s="15"/>
      <c r="N10" s="16" t="str">
        <f aca="false">IF(OR(L10="",M10=""),"",L10&amp;M10)</f>
        <v/>
      </c>
      <c r="O10" s="15"/>
      <c r="P10" s="15"/>
    </row>
    <row r="11" customFormat="false" ht="48" hidden="false" customHeight="true" outlineLevel="0" collapsed="false">
      <c r="A11" s="13" t="s">
        <v>248</v>
      </c>
      <c r="B11" s="13" t="s">
        <v>249</v>
      </c>
      <c r="C11" s="13" t="s">
        <v>250</v>
      </c>
      <c r="D11" s="13" t="s">
        <v>219</v>
      </c>
      <c r="E11" s="14" t="s">
        <v>100</v>
      </c>
      <c r="F11" s="13" t="s">
        <v>111</v>
      </c>
      <c r="G11" s="15"/>
      <c r="H11" s="15"/>
      <c r="I11" s="15"/>
      <c r="J11" s="15"/>
      <c r="K11" s="15"/>
      <c r="L11" s="15"/>
      <c r="M11" s="15"/>
      <c r="N11" s="16" t="str">
        <f aca="false">IF(OR(L11="",M11=""),"",L11&amp;M11)</f>
        <v/>
      </c>
      <c r="O11" s="15"/>
      <c r="P11" s="15"/>
    </row>
    <row r="12" customFormat="false" ht="48" hidden="false" customHeight="true" outlineLevel="0" collapsed="false">
      <c r="A12" s="13" t="s">
        <v>251</v>
      </c>
      <c r="B12" s="13" t="s">
        <v>252</v>
      </c>
      <c r="C12" s="13" t="s">
        <v>253</v>
      </c>
      <c r="D12" s="13" t="s">
        <v>224</v>
      </c>
      <c r="E12" s="14" t="s">
        <v>100</v>
      </c>
      <c r="F12" s="13" t="s">
        <v>134</v>
      </c>
      <c r="G12" s="15"/>
      <c r="H12" s="15"/>
      <c r="I12" s="15"/>
      <c r="J12" s="15"/>
      <c r="K12" s="15"/>
      <c r="L12" s="15"/>
      <c r="M12" s="15"/>
      <c r="N12" s="16" t="str">
        <f aca="false">IF(OR(L12="",M12=""),"",L12&amp;M12)</f>
        <v/>
      </c>
      <c r="O12" s="15"/>
      <c r="P12" s="15"/>
    </row>
    <row r="13" customFormat="false" ht="48" hidden="false" customHeight="true" outlineLevel="0" collapsed="false">
      <c r="A13" s="13" t="s">
        <v>254</v>
      </c>
      <c r="B13" s="13" t="s">
        <v>255</v>
      </c>
      <c r="C13" s="13" t="s">
        <v>256</v>
      </c>
      <c r="D13" s="13" t="s">
        <v>224</v>
      </c>
      <c r="E13" s="14" t="s">
        <v>100</v>
      </c>
      <c r="F13" s="13" t="s">
        <v>111</v>
      </c>
      <c r="G13" s="15"/>
      <c r="H13" s="15"/>
      <c r="I13" s="15"/>
      <c r="J13" s="15"/>
      <c r="K13" s="15"/>
      <c r="L13" s="15"/>
      <c r="M13" s="15"/>
      <c r="N13" s="16" t="str">
        <f aca="false">IF(OR(L13="",M13=""),"",L13&amp;M13)</f>
        <v/>
      </c>
      <c r="O13" s="15"/>
      <c r="P13" s="15"/>
    </row>
    <row r="14" customFormat="false" ht="48" hidden="false" customHeight="true" outlineLevel="0" collapsed="false">
      <c r="A14" s="13" t="s">
        <v>257</v>
      </c>
      <c r="B14" s="13" t="s">
        <v>258</v>
      </c>
      <c r="C14" s="13" t="s">
        <v>259</v>
      </c>
      <c r="D14" s="13" t="s">
        <v>219</v>
      </c>
      <c r="E14" s="14" t="s">
        <v>100</v>
      </c>
      <c r="F14" s="13" t="s">
        <v>134</v>
      </c>
      <c r="G14" s="15"/>
      <c r="H14" s="15"/>
      <c r="I14" s="15"/>
      <c r="J14" s="15"/>
      <c r="K14" s="15"/>
      <c r="L14" s="15"/>
      <c r="M14" s="15"/>
      <c r="N14" s="16" t="str">
        <f aca="false">IF(OR(L14="",M14=""),"",L14&amp;M14)</f>
        <v/>
      </c>
      <c r="O14" s="15"/>
      <c r="P14" s="15"/>
    </row>
    <row r="15" customFormat="false" ht="48" hidden="false" customHeight="true" outlineLevel="0" collapsed="false">
      <c r="A15" s="13" t="s">
        <v>260</v>
      </c>
      <c r="B15" s="13" t="s">
        <v>261</v>
      </c>
      <c r="C15" s="13" t="s">
        <v>262</v>
      </c>
      <c r="D15" s="13" t="s">
        <v>244</v>
      </c>
      <c r="E15" s="14" t="s">
        <v>100</v>
      </c>
      <c r="F15" s="13" t="s">
        <v>111</v>
      </c>
      <c r="G15" s="15"/>
      <c r="H15" s="15"/>
      <c r="I15" s="15"/>
      <c r="J15" s="15"/>
      <c r="K15" s="15"/>
      <c r="L15" s="15"/>
      <c r="M15" s="15"/>
      <c r="N15" s="16" t="str">
        <f aca="false">IF(OR(L15="",M15=""),"",L15&amp;M15)</f>
        <v/>
      </c>
      <c r="O15" s="15"/>
      <c r="P15" s="15"/>
    </row>
    <row r="16" customFormat="false" ht="48" hidden="false" customHeight="true" outlineLevel="0" collapsed="false">
      <c r="A16" s="13" t="s">
        <v>263</v>
      </c>
      <c r="B16" s="13" t="s">
        <v>264</v>
      </c>
      <c r="C16" s="13" t="s">
        <v>265</v>
      </c>
      <c r="D16" s="13" t="s">
        <v>224</v>
      </c>
      <c r="E16" s="14" t="s">
        <v>100</v>
      </c>
      <c r="F16" s="13" t="s">
        <v>134</v>
      </c>
      <c r="G16" s="15"/>
      <c r="H16" s="15"/>
      <c r="I16" s="15"/>
      <c r="J16" s="15"/>
      <c r="K16" s="15"/>
      <c r="L16" s="15"/>
      <c r="M16" s="15"/>
      <c r="N16" s="16" t="str">
        <f aca="false">IF(OR(L16="",M16=""),"",L16&amp;M16)</f>
        <v/>
      </c>
      <c r="O16" s="15"/>
      <c r="P16" s="15"/>
    </row>
    <row r="17" customFormat="false" ht="48" hidden="false" customHeight="true" outlineLevel="0" collapsed="false">
      <c r="A17" s="13" t="s">
        <v>266</v>
      </c>
      <c r="B17" s="13" t="s">
        <v>267</v>
      </c>
      <c r="C17" s="13" t="s">
        <v>268</v>
      </c>
      <c r="D17" s="13" t="s">
        <v>224</v>
      </c>
      <c r="E17" s="14" t="s">
        <v>100</v>
      </c>
      <c r="F17" s="13" t="s">
        <v>134</v>
      </c>
      <c r="G17" s="15"/>
      <c r="H17" s="15"/>
      <c r="I17" s="15"/>
      <c r="J17" s="15"/>
      <c r="K17" s="15"/>
      <c r="L17" s="15"/>
      <c r="M17" s="15"/>
      <c r="N17" s="16" t="str">
        <f aca="false">IF(OR(L17="",M17=""),"",L17&amp;M17)</f>
        <v/>
      </c>
      <c r="O17" s="15"/>
      <c r="P17" s="15"/>
    </row>
  </sheetData>
  <autoFilter ref="A1:P17"/>
  <conditionalFormatting sqref="O2:O17">
    <cfRule type="expression" priority="2" aboveAverage="0" equalAverage="0" bottom="0" percent="0" rank="0" text="" dxfId="8">
      <formula>O2="Confirmado"</formula>
    </cfRule>
    <cfRule type="expression" priority="3" aboveAverage="0" equalAverage="0" bottom="0" percent="0" rank="0" text="" dxfId="9">
      <formula>O2="Descartado"</formula>
    </cfRule>
  </conditionalFormatting>
  <dataValidations count="6">
    <dataValidation allowBlank="true" errorStyle="stop" operator="between" showDropDown="false" showErrorMessage="false" showInputMessage="false" sqref="G2:G17" type="list">
      <formula1>"Sí,No,No se pudo abrir"</formula1>
      <formula2>0</formula2>
    </dataValidation>
    <dataValidation allowBlank="true" errorStyle="stop" operator="between" showDropDown="false" showErrorMessage="false" showInputMessage="false" sqref="I2:I17" type="list">
      <formula1>"Sí,No,No se pudo abrir"</formula1>
      <formula2>0</formula2>
    </dataValidation>
    <dataValidation allowBlank="true" errorStyle="stop" operator="between" showDropDown="false" showErrorMessage="false" showInputMessage="false" sqref="J2:J17" type="list">
      <formula1>"Sí,No,No se pudo abrir"</formula1>
      <formula2>0</formula2>
    </dataValidation>
    <dataValidation allowBlank="true" errorStyle="stop" operator="between" showDropDown="false" showErrorMessage="false" showInputMessage="false" sqref="L2:L17" type="list">
      <formula1>"A,B,C,D,E,F"</formula1>
      <formula2>0</formula2>
    </dataValidation>
    <dataValidation allowBlank="true" errorStyle="stop" operator="between" showDropDown="false" showErrorMessage="false" showInputMessage="false" sqref="M2:M17" type="list">
      <formula1>"1,2,3,4,5,6"</formula1>
      <formula2>0</formula2>
    </dataValidation>
    <dataValidation allowBlank="true" errorStyle="stop" operator="between" showDropDown="false" showErrorMessage="false" showInputMessage="false" sqref="O2:O17" type="list">
      <formula1>"Confirmado,Reivindicado sin confirmar,Descartado"</formula1>
      <formula2>0</formula2>
    </dataValidation>
  </dataValidations>
  <hyperlinks>
    <hyperlink ref="E10" r:id="rId1" display="Abrir fuente"/>
    <hyperlink ref="E11" r:id="rId2" display="Abrir fuente"/>
    <hyperlink ref="E12" r:id="rId3" display="Abrir fuente"/>
    <hyperlink ref="E13" r:id="rId4" display="Abrir fuente"/>
    <hyperlink ref="E14" r:id="rId5" display="Abrir fuente"/>
    <hyperlink ref="E15" r:id="rId6" display="Abrir fuente"/>
    <hyperlink ref="E16" r:id="rId7" display="Abrir fuente"/>
    <hyperlink ref="E17" r:id="rId8" display="Abrir fuent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2026-10-17T14:48:10Z</dcterms:created>
  <dc:creator>openpyxl</dc:creator>
  <dc:description/>
  <dc:language>en-US</dc:language>
  <cp:lastModifiedBy/>
  <dcterms:modified xsi:type="dcterms:W3CDTF">2026-10-17T14:48:10Z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